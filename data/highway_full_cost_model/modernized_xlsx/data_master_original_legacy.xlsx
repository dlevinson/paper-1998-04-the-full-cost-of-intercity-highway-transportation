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  <sheet name="Sheet11" sheetId="11" state="visible" r:id="rId13"/>
    <sheet name="Sheet12" sheetId="12" state="visible" r:id="rId14"/>
    <sheet name="Sheet13" sheetId="13" state="visible" r:id="rId15"/>
    <sheet name="Sheet14" sheetId="14" state="visible" r:id="rId16"/>
    <sheet name="Sheet15" sheetId="15" state="visible" r:id="rId17"/>
    <sheet name="Sheet16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<sst xmlns="http://schemas.openxmlformats.org/spreadsheetml/2006/main" count="144" uniqueCount="116">
  <si>
    <t xml:space="preserve">CAPURBINT</t>
  </si>
  <si>
    <t xml:space="preserve">CAPURBLOC</t>
  </si>
  <si>
    <t xml:space="preserve">CAPURBTOT</t>
  </si>
  <si>
    <t xml:space="preserve">MNTURBINT</t>
  </si>
  <si>
    <t xml:space="preserve">MNTURBLOC</t>
  </si>
  <si>
    <t xml:space="preserve">MNTURBTOT</t>
  </si>
  <si>
    <t xml:space="preserve">CAPRURINT</t>
  </si>
  <si>
    <t xml:space="preserve">CAPRURLOC</t>
  </si>
  <si>
    <t xml:space="preserve">CAPRURTOT</t>
  </si>
  <si>
    <t xml:space="preserve">MNTRURINT</t>
  </si>
  <si>
    <t xml:space="preserve">MNTRURLOC</t>
  </si>
  <si>
    <t xml:space="preserve">MNTRURTOT</t>
  </si>
  <si>
    <t xml:space="preserve">CAPTOTINT</t>
  </si>
  <si>
    <t xml:space="preserve">CAPTOTLOC</t>
  </si>
  <si>
    <t xml:space="preserve">CAPTOTTOT</t>
  </si>
  <si>
    <t xml:space="preserve">MNTTOTINT</t>
  </si>
  <si>
    <t xml:space="preserve">MNTTOTLOC</t>
  </si>
  <si>
    <t xml:space="preserve">MNTTOTTOT</t>
  </si>
  <si>
    <t xml:space="preserve">MILRURINT</t>
  </si>
  <si>
    <t xml:space="preserve">MILRURLOC</t>
  </si>
  <si>
    <t xml:space="preserve">MILRURTOT</t>
  </si>
  <si>
    <t xml:space="preserve">MILURBINT</t>
  </si>
  <si>
    <t xml:space="preserve">MILURBFWY</t>
  </si>
  <si>
    <t xml:space="preserve">MILURBLOC</t>
  </si>
  <si>
    <t xml:space="preserve">MILURBTOT</t>
  </si>
  <si>
    <t xml:space="preserve">URBMIL+4</t>
  </si>
  <si>
    <t xml:space="preserve">URBMIL-4</t>
  </si>
  <si>
    <t xml:space="preserve">RURMIL+4</t>
  </si>
  <si>
    <t xml:space="preserve">RURMIL-4</t>
  </si>
  <si>
    <t xml:space="preserve">RURPASSVEH</t>
  </si>
  <si>
    <t xml:space="preserve">RURTRUSING</t>
  </si>
  <si>
    <t xml:space="preserve">RURTRUCOM</t>
  </si>
  <si>
    <t xml:space="preserve">URBPASSVEH</t>
  </si>
  <si>
    <t xml:space="preserve">URBTRUSING</t>
  </si>
  <si>
    <t xml:space="preserve">URBTRUCOMB</t>
  </si>
  <si>
    <t xml:space="preserve">ALASKA</t>
  </si>
  <si>
    <t xml:space="preserve">NEWYORK</t>
  </si>
  <si>
    <t xml:space="preserve">CALIFORNIA</t>
  </si>
  <si>
    <t xml:space="preserve">SOUTHEAST</t>
  </si>
  <si>
    <t xml:space="preserve">MIDWEST</t>
  </si>
  <si>
    <t xml:space="preserve">NORTHEAST</t>
  </si>
  <si>
    <t xml:space="preserve">VMTRURINT</t>
  </si>
  <si>
    <t xml:space="preserve">VMTRURLOC</t>
  </si>
  <si>
    <t xml:space="preserve">VMTRURTOT</t>
  </si>
  <si>
    <t xml:space="preserve">VMTURBINT</t>
  </si>
  <si>
    <t xml:space="preserve">VMTURBFWY</t>
  </si>
  <si>
    <t xml:space="preserve">VMTURBLOC</t>
  </si>
  <si>
    <t xml:space="preserve">VMTURBTOT</t>
  </si>
  <si>
    <t xml:space="preserve">CSTADMHWY</t>
  </si>
  <si>
    <t xml:space="preserve">CLOCADMRD</t>
  </si>
  <si>
    <t xml:space="preserve">CFEDROAD</t>
  </si>
  <si>
    <t xml:space="preserve">CTOTAL</t>
  </si>
  <si>
    <t xml:space="preserve">MSTADMHWY</t>
  </si>
  <si>
    <t xml:space="preserve">MLOCADMRD</t>
  </si>
  <si>
    <t xml:space="preserve">MREDROAD</t>
  </si>
  <si>
    <t xml:space="preserve">MTOTAL</t>
  </si>
  <si>
    <t xml:space="preserve">ADM_MISC</t>
  </si>
  <si>
    <t xml:space="preserve">LAW_SAFETY</t>
  </si>
  <si>
    <t xml:space="preserve">INTEREST</t>
  </si>
  <si>
    <t xml:space="preserve">BONDRETIRE</t>
  </si>
  <si>
    <t xml:space="preserve">TOTALDISB</t>
  </si>
  <si>
    <t xml:space="preserve">Alabama</t>
  </si>
  <si>
    <t xml:space="preserve">Alaska</t>
  </si>
  <si>
    <t xml:space="preserve">Arizona</t>
  </si>
  <si>
    <t xml:space="preserve">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</si>
  <si>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</si>
  <si>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</si>
  <si>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</si>
  <si>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</si>
  <si>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</si>
  <si>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Dist.  of  Col.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</si>
  <si>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</si>
  <si>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</si>
  <si>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</si>
  <si>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</si>
  <si>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</si>
  <si>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</si>
  <si>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</si>
  <si>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</si>
  <si>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</si>
  <si>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"NA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</si>
  <si>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</si>
  <si>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</si>
  <si>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</si>
  <si>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</si>
  <si>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</si>
  <si>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</si>
  <si>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</si>
  <si>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</si>
  <si>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 </t>
  </si>
  <si>
    <t xml:space="preserve">Nebraska</t>
  </si>
  <si>
    <t xml:space="preserve">Nevada</t>
  </si>
  <si>
    <t xml:space="preserve">New  Hampshire</t>
  </si>
  <si>
    <t xml:space="preserve">New  Jersey</t>
  </si>
  <si>
    <t xml:space="preserve">New  Mexico</t>
  </si>
  <si>
    <t xml:space="preserve">New  York</t>
  </si>
  <si>
    <t xml:space="preserve">North  Carolina</t>
  </si>
  <si>
    <t xml:space="preserve">North 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</si>
  <si>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</si>
  <si>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</si>
  <si>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</si>
  <si>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</si>
  <si>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 Island</t>
  </si>
  <si>
    <t xml:space="preserve">South  Carolina</t>
  </si>
  <si>
    <t xml:space="preserve">South 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</si>
  <si>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</si>
  <si>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</si>
  <si>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</si>
  <si>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</si>
  <si>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</si>
  <si>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</si>
  <si>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 Virginia</t>
  </si>
  <si>
    <t xml:space="preserve">Wisconsin</t>
  </si>
  <si>
    <t xml:space="preserve">Wyoming</t>
  </si>
  <si>
    <t xml:space="preserve">Undistributed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</si>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</sst>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4">
    <font>
      <sz val="10"/>
      <name val="Genev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double"/>
      <right style="thin"/>
      <top style="double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4" t="s">
        <v>52</v>
      </c>
      <c r="BC1" s="3" t="s">
        <v>53</v>
      </c>
      <c r="BD1" s="3" t="s">
        <v>54</v>
      </c>
      <c r="BE1" s="3" t="s">
        <v>55</v>
      </c>
      <c r="BF1" s="4" t="s">
        <v>56</v>
      </c>
      <c r="BG1" s="3" t="s">
        <v>57</v>
      </c>
      <c r="BH1" s="3" t="s">
        <v>58</v>
      </c>
      <c r="BI1" s="3" t="s">
        <v>59</v>
      </c>
      <c r="BJ1" s="3" t="s">
        <v>60</v>
      </c>
    </row>
    <row r="2" customFormat="false" ht="14.65" hidden="false" customHeight="false" outlineLevel="0" collapsed="false">
      <c r="A2" s="5" t="s">
        <v>61</v>
      </c>
      <c r="B2" s="2" t="n">
        <v>125348</v>
      </c>
      <c r="C2" s="2" t="n">
        <v>77005</v>
      </c>
      <c r="D2" s="2" t="n">
        <v>202353</v>
      </c>
      <c r="E2" s="2" t="n">
        <v>7008</v>
      </c>
      <c r="F2" s="2" t="n">
        <v>87510</v>
      </c>
      <c r="G2" s="2" t="n">
        <v>94518</v>
      </c>
      <c r="H2" s="2" t="n">
        <v>29484</v>
      </c>
      <c r="I2" s="2" t="n">
        <v>238395</v>
      </c>
      <c r="J2" s="2" t="n">
        <v>267879</v>
      </c>
      <c r="K2" s="2" t="n">
        <v>7412</v>
      </c>
      <c r="L2" s="2" t="n">
        <v>55938</v>
      </c>
      <c r="M2" s="2" t="n">
        <v>63350</v>
      </c>
      <c r="N2" s="2" t="n">
        <v>154832</v>
      </c>
      <c r="O2" s="2" t="n">
        <v>315400</v>
      </c>
      <c r="P2" s="2" t="n">
        <v>470232</v>
      </c>
      <c r="Q2" s="2" t="n">
        <v>14420</v>
      </c>
      <c r="R2" s="2" t="n">
        <v>143448</v>
      </c>
      <c r="S2" s="2" t="n">
        <v>157868</v>
      </c>
      <c r="T2" s="2" t="n">
        <v>602</v>
      </c>
      <c r="U2" s="2" t="n">
        <f aca="false">+V2-T2</f>
        <v>72226</v>
      </c>
      <c r="V2" s="2" t="n">
        <v>72828</v>
      </c>
      <c r="W2" s="2" t="n">
        <v>297</v>
      </c>
      <c r="X2" s="2" t="n">
        <v>21</v>
      </c>
      <c r="Y2" s="2" t="n">
        <f aca="false">+Z2-W2-X2</f>
        <v>91891</v>
      </c>
      <c r="Z2" s="2" t="n">
        <v>92209</v>
      </c>
      <c r="AA2" s="2" t="n">
        <v>43</v>
      </c>
      <c r="AB2" s="2" t="n">
        <v>254</v>
      </c>
      <c r="AC2" s="2" t="n">
        <v>0</v>
      </c>
      <c r="AD2" s="2" t="n">
        <v>602</v>
      </c>
      <c r="AE2" s="6" t="n">
        <v>56</v>
      </c>
      <c r="AF2" s="6" t="n">
        <v>16.9</v>
      </c>
      <c r="AG2" s="6" t="n">
        <f aca="false">100-AE2-AF2</f>
        <v>27.1</v>
      </c>
      <c r="AH2" s="6" t="n">
        <v>72.7</v>
      </c>
      <c r="AI2" s="6" t="n">
        <v>14.3</v>
      </c>
      <c r="AJ2" s="6" t="n">
        <f aca="false">100-AH2-AI2</f>
        <v>13</v>
      </c>
      <c r="AK2" s="7" t="n">
        <v>0</v>
      </c>
      <c r="AL2" s="7" t="n">
        <v>0</v>
      </c>
      <c r="AM2" s="7" t="n">
        <v>0</v>
      </c>
      <c r="AN2" s="7" t="n">
        <v>1</v>
      </c>
      <c r="AO2" s="7" t="n">
        <v>0</v>
      </c>
      <c r="AP2" s="7" t="n">
        <v>0</v>
      </c>
      <c r="AQ2" s="2" t="n">
        <v>4442</v>
      </c>
      <c r="AR2" s="2" t="n">
        <v>18361</v>
      </c>
      <c r="AS2" s="2" t="n">
        <v>22803</v>
      </c>
      <c r="AT2" s="2" t="n">
        <v>4208</v>
      </c>
      <c r="AU2" s="2" t="n">
        <v>326</v>
      </c>
      <c r="AV2" s="2" t="n">
        <v>18425</v>
      </c>
      <c r="AW2" s="2" t="n">
        <v>22959</v>
      </c>
      <c r="AX2" s="8" t="n">
        <v>372518</v>
      </c>
      <c r="AY2" s="8" t="n">
        <v>42839</v>
      </c>
      <c r="AZ2" s="8" t="n">
        <v>974</v>
      </c>
      <c r="BA2" s="8" t="n">
        <v>416331</v>
      </c>
      <c r="BB2" s="9" t="n">
        <v>134450</v>
      </c>
      <c r="BC2" s="8" t="n">
        <v>299897</v>
      </c>
      <c r="BD2" s="8" t="n">
        <v>14</v>
      </c>
      <c r="BE2" s="8" t="n">
        <v>434361</v>
      </c>
      <c r="BF2" s="9" t="n">
        <v>72558</v>
      </c>
      <c r="BG2" s="8" t="n">
        <v>57359</v>
      </c>
      <c r="BH2" s="8" t="n">
        <v>11128</v>
      </c>
      <c r="BI2" s="8" t="n">
        <v>20436</v>
      </c>
      <c r="BJ2" s="8" t="n">
        <v>1012173</v>
      </c>
    </row>
    <row r="3" customFormat="false" ht="14.65" hidden="false" customHeight="false" outlineLevel="0" collapsed="false">
      <c r="A3" s="5" t="s">
        <v>62</v>
      </c>
      <c r="B3" s="2" t="n">
        <v>35459</v>
      </c>
      <c r="C3" s="2" t="n">
        <v>71217</v>
      </c>
      <c r="D3" s="2" t="n">
        <v>106676</v>
      </c>
      <c r="E3" s="2" t="n">
        <v>1369</v>
      </c>
      <c r="F3" s="2" t="n">
        <v>19907</v>
      </c>
      <c r="G3" s="2" t="n">
        <v>21276</v>
      </c>
      <c r="H3" s="2" t="n">
        <v>50659</v>
      </c>
      <c r="I3" s="2" t="n">
        <v>84665</v>
      </c>
      <c r="J3" s="2" t="n">
        <v>135324</v>
      </c>
      <c r="K3" s="2" t="n">
        <v>3744</v>
      </c>
      <c r="L3" s="2" t="n">
        <v>8380</v>
      </c>
      <c r="M3" s="2" t="n">
        <v>12124</v>
      </c>
      <c r="N3" s="2" t="n">
        <v>86118</v>
      </c>
      <c r="O3" s="2" t="n">
        <v>155882</v>
      </c>
      <c r="P3" s="2" t="n">
        <v>242000</v>
      </c>
      <c r="Q3" s="2" t="n">
        <v>5113</v>
      </c>
      <c r="R3" s="2" t="n">
        <v>28287</v>
      </c>
      <c r="S3" s="2" t="n">
        <v>33400</v>
      </c>
      <c r="T3" s="2" t="n">
        <v>1003</v>
      </c>
      <c r="U3" s="2" t="n">
        <f aca="false">+V3-T3</f>
        <v>11104</v>
      </c>
      <c r="V3" s="2" t="n">
        <v>12107</v>
      </c>
      <c r="W3" s="2" t="n">
        <v>54</v>
      </c>
      <c r="X3" s="2" t="n">
        <v>0</v>
      </c>
      <c r="Y3" s="2" t="n">
        <f aca="false">+Z3-W3-X3</f>
        <v>13795</v>
      </c>
      <c r="Z3" s="2" t="n">
        <v>13849</v>
      </c>
      <c r="AA3" s="2" t="n">
        <v>10</v>
      </c>
      <c r="AB3" s="2" t="n">
        <v>44</v>
      </c>
      <c r="AC3" s="2" t="n">
        <v>0</v>
      </c>
      <c r="AD3" s="2" t="n">
        <v>1003</v>
      </c>
      <c r="AE3" s="6" t="n">
        <v>57.9</v>
      </c>
      <c r="AF3" s="6" t="n">
        <v>39.7</v>
      </c>
      <c r="AG3" s="6" t="n">
        <f aca="false">100-AE3-AF3</f>
        <v>2.4</v>
      </c>
      <c r="AH3" s="6" t="n">
        <v>85.1</v>
      </c>
      <c r="AI3" s="6" t="n">
        <v>14.2</v>
      </c>
      <c r="AJ3" s="6" t="n">
        <f aca="false">100-AH3-AI3</f>
        <v>0.700000000000006</v>
      </c>
      <c r="AK3" s="7" t="n">
        <v>1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2" t="n">
        <v>677</v>
      </c>
      <c r="AR3" s="2" t="n">
        <v>1328</v>
      </c>
      <c r="AS3" s="2" t="n">
        <v>2005</v>
      </c>
      <c r="AT3" s="2" t="n">
        <v>450</v>
      </c>
      <c r="AU3" s="2" t="n">
        <v>0</v>
      </c>
      <c r="AV3" s="2" t="n">
        <v>1386</v>
      </c>
      <c r="AW3" s="2" t="n">
        <v>1836</v>
      </c>
      <c r="AX3" s="8" t="n">
        <v>213000</v>
      </c>
      <c r="AY3" s="8" t="n">
        <v>60888</v>
      </c>
      <c r="AZ3" s="8" t="n">
        <v>4942</v>
      </c>
      <c r="BA3" s="8" t="n">
        <v>278830</v>
      </c>
      <c r="BB3" s="9" t="n">
        <v>121900</v>
      </c>
      <c r="BC3" s="8" t="n">
        <v>34166</v>
      </c>
      <c r="BD3" s="8" t="n">
        <v>831</v>
      </c>
      <c r="BE3" s="8" t="n">
        <v>156897</v>
      </c>
      <c r="BF3" s="9" t="n">
        <v>30088</v>
      </c>
      <c r="BG3" s="8" t="n">
        <v>40116</v>
      </c>
      <c r="BH3" s="8" t="n">
        <v>13411</v>
      </c>
      <c r="BI3" s="8" t="n">
        <v>21623</v>
      </c>
      <c r="BJ3" s="8" t="n">
        <v>540965</v>
      </c>
    </row>
    <row r="4" customFormat="false" ht="14.65" hidden="false" customHeight="false" outlineLevel="0" collapsed="false">
      <c r="A4" s="5" t="s">
        <v>63</v>
      </c>
      <c r="B4" s="2" t="n">
        <v>48078</v>
      </c>
      <c r="C4" s="2" t="n">
        <v>229257</v>
      </c>
      <c r="D4" s="2" t="n">
        <v>277335</v>
      </c>
      <c r="E4" s="2" t="e">
        <f aca="false">#REF!</f>
        <v>#VALUE!</v>
      </c>
      <c r="F4" s="2" t="e">
        <f aca="false">#REF!</f>
        <v>#VALUE!</v>
      </c>
      <c r="G4" s="2" t="e">
        <f aca="false">#REF!</f>
        <v>#VALUE!</v>
      </c>
      <c r="H4" s="2" t="n">
        <v>66574</v>
      </c>
      <c r="I4" s="2" t="n">
        <v>136890</v>
      </c>
      <c r="J4" s="2" t="n">
        <v>203464</v>
      </c>
      <c r="K4" s="2" t="s">
        <v>64</v>
      </c>
      <c r="L4" s="2" t="e">
        <f aca="false">#REF!</f>
        <v>#VALUE!</v>
      </c>
      <c r="M4" s="2" t="s">
        <v>64</v>
      </c>
      <c r="N4" s="2" t="n">
        <v>114652</v>
      </c>
      <c r="O4" s="2" t="n">
        <v>366147</v>
      </c>
      <c r="P4" s="2" t="n">
        <v>480799</v>
      </c>
      <c r="Q4" s="2" t="s">
        <v>64</v>
      </c>
      <c r="R4" s="2" t="e">
        <f aca="false">#REF!</f>
        <v>#VALUE!</v>
      </c>
      <c r="S4" s="2" t="n">
        <v>68839</v>
      </c>
      <c r="T4" s="2" t="n">
        <v>987</v>
      </c>
      <c r="U4" s="2" t="n">
        <f aca="false">+V4-T4</f>
        <v>38436</v>
      </c>
      <c r="V4" s="2" t="n">
        <v>39423</v>
      </c>
      <c r="W4" s="2" t="n">
        <v>202</v>
      </c>
      <c r="X4" s="2" t="n">
        <v>70</v>
      </c>
      <c r="Y4" s="2" t="n">
        <f aca="false">+Z4-W4-X4</f>
        <v>55491</v>
      </c>
      <c r="Z4" s="2" t="n">
        <v>55763</v>
      </c>
      <c r="AA4" s="2" t="n">
        <v>54</v>
      </c>
      <c r="AB4" s="2" t="n">
        <v>148</v>
      </c>
      <c r="AC4" s="2" t="n">
        <v>0</v>
      </c>
      <c r="AD4" s="2" t="n">
        <v>987</v>
      </c>
      <c r="AE4" s="6" t="n">
        <v>57.7</v>
      </c>
      <c r="AF4" s="6" t="n">
        <v>26</v>
      </c>
      <c r="AG4" s="6" t="n">
        <f aca="false">100-AE4-AF4</f>
        <v>16.3</v>
      </c>
      <c r="AH4" s="6" t="n">
        <v>58.7</v>
      </c>
      <c r="AI4" s="6" t="n">
        <v>33.2</v>
      </c>
      <c r="AJ4" s="6" t="n">
        <f aca="false">100-AH4-AI4</f>
        <v>8.09999999999999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2" t="n">
        <v>5110</v>
      </c>
      <c r="AR4" s="2" t="n">
        <v>8678</v>
      </c>
      <c r="AS4" s="2" t="n">
        <v>13788</v>
      </c>
      <c r="AT4" s="2" t="n">
        <v>3003</v>
      </c>
      <c r="AU4" s="2" t="n">
        <v>1344</v>
      </c>
      <c r="AV4" s="2" t="n">
        <v>16912</v>
      </c>
      <c r="AW4" s="2" t="n">
        <v>21259</v>
      </c>
      <c r="AX4" s="8" t="n">
        <v>488274</v>
      </c>
      <c r="AY4" s="8" t="n">
        <v>205236</v>
      </c>
      <c r="AZ4" s="8" t="n">
        <v>19046</v>
      </c>
      <c r="BA4" s="8" t="n">
        <v>712556</v>
      </c>
      <c r="BB4" s="9" t="n">
        <v>68907</v>
      </c>
      <c r="BC4" s="8" t="n">
        <v>84516</v>
      </c>
      <c r="BD4" s="8" t="n">
        <v>10641</v>
      </c>
      <c r="BE4" s="8" t="n">
        <v>164064</v>
      </c>
      <c r="BF4" s="9" t="n">
        <v>70527</v>
      </c>
      <c r="BG4" s="8" t="n">
        <v>78446</v>
      </c>
      <c r="BH4" s="8" t="n">
        <v>154305</v>
      </c>
      <c r="BI4" s="8" t="n">
        <v>359239</v>
      </c>
      <c r="BJ4" s="8" t="n">
        <v>1539137</v>
      </c>
    </row>
    <row r="5" customFormat="false" ht="14.65" hidden="false" customHeight="false" outlineLevel="0" collapsed="false">
      <c r="A5" s="5" t="s">
        <v>65</v>
      </c>
      <c r="B5" s="2" t="n">
        <v>6623</v>
      </c>
      <c r="C5" s="2" t="n">
        <v>132474</v>
      </c>
      <c r="D5" s="2" t="n">
        <v>139097</v>
      </c>
      <c r="E5" s="2" t="n">
        <v>1387</v>
      </c>
      <c r="F5" s="2" t="n">
        <v>24221</v>
      </c>
      <c r="G5" s="2" t="n">
        <v>25608</v>
      </c>
      <c r="H5" s="2" t="n">
        <v>26357</v>
      </c>
      <c r="I5" s="2" t="n">
        <v>196878</v>
      </c>
      <c r="J5" s="2" t="n">
        <v>223235</v>
      </c>
      <c r="K5" s="2" t="n">
        <v>7154</v>
      </c>
      <c r="L5" s="2" t="n">
        <v>60650</v>
      </c>
      <c r="M5" s="2" t="n">
        <v>67804</v>
      </c>
      <c r="N5" s="2" t="n">
        <v>32980</v>
      </c>
      <c r="O5" s="2" t="n">
        <v>329352</v>
      </c>
      <c r="P5" s="2" t="n">
        <v>362332</v>
      </c>
      <c r="Q5" s="2" t="n">
        <v>8541</v>
      </c>
      <c r="R5" s="2" t="n">
        <v>84871</v>
      </c>
      <c r="S5" s="2" t="n">
        <v>93412</v>
      </c>
      <c r="T5" s="2" t="n">
        <v>412</v>
      </c>
      <c r="U5" s="2" t="n">
        <f aca="false">+V5-T5</f>
        <v>69185</v>
      </c>
      <c r="V5" s="2" t="n">
        <v>69597</v>
      </c>
      <c r="W5" s="2" t="n">
        <v>131</v>
      </c>
      <c r="X5" s="2" t="n">
        <v>94</v>
      </c>
      <c r="Y5" s="2" t="n">
        <f aca="false">+Z5-W5-X5</f>
        <v>76967</v>
      </c>
      <c r="Z5" s="2" t="n">
        <v>77192</v>
      </c>
      <c r="AA5" s="2" t="n">
        <v>45</v>
      </c>
      <c r="AB5" s="2" t="n">
        <v>86</v>
      </c>
      <c r="AC5" s="2" t="n">
        <v>3</v>
      </c>
      <c r="AD5" s="2" t="n">
        <v>409</v>
      </c>
      <c r="AE5" s="6" t="n">
        <v>56.5</v>
      </c>
      <c r="AF5" s="6" t="n">
        <v>13.4</v>
      </c>
      <c r="AG5" s="6" t="n">
        <f aca="false">100-AE5-AF5</f>
        <v>30.1</v>
      </c>
      <c r="AH5" s="6" t="n">
        <v>68.8</v>
      </c>
      <c r="AI5" s="6" t="n">
        <v>14.8</v>
      </c>
      <c r="AJ5" s="6" t="n">
        <f aca="false">100-AH5-AI5</f>
        <v>16.4</v>
      </c>
      <c r="AK5" s="7" t="n">
        <v>0</v>
      </c>
      <c r="AL5" s="7" t="n">
        <v>0</v>
      </c>
      <c r="AM5" s="7" t="n">
        <v>0</v>
      </c>
      <c r="AN5" s="7" t="n">
        <v>1</v>
      </c>
      <c r="AO5" s="7" t="n">
        <v>0</v>
      </c>
      <c r="AP5" s="7" t="n">
        <v>0</v>
      </c>
      <c r="AQ5" s="2" t="n">
        <v>3140</v>
      </c>
      <c r="AR5" s="2" t="n">
        <v>11908</v>
      </c>
      <c r="AS5" s="2" t="n">
        <v>15048</v>
      </c>
      <c r="AT5" s="2" t="n">
        <v>1758</v>
      </c>
      <c r="AU5" s="2" t="n">
        <v>717</v>
      </c>
      <c r="AV5" s="2" t="n">
        <v>5558</v>
      </c>
      <c r="AW5" s="2" t="n">
        <v>8033</v>
      </c>
      <c r="AX5" s="8" t="n">
        <v>325826</v>
      </c>
      <c r="AY5" s="8" t="n">
        <v>72239</v>
      </c>
      <c r="AZ5" s="8" t="n">
        <v>868</v>
      </c>
      <c r="BA5" s="8" t="n">
        <v>398933</v>
      </c>
      <c r="BB5" s="9" t="n">
        <v>113232</v>
      </c>
      <c r="BC5" s="8" t="n">
        <v>130379</v>
      </c>
      <c r="BD5" s="8" t="n">
        <v>310</v>
      </c>
      <c r="BE5" s="8" t="n">
        <v>243921</v>
      </c>
      <c r="BF5" s="9" t="n">
        <v>42524</v>
      </c>
      <c r="BG5" s="8" t="n">
        <v>45163</v>
      </c>
      <c r="BH5" s="8" t="n">
        <v>661</v>
      </c>
      <c r="BI5" s="8" t="n">
        <v>449</v>
      </c>
      <c r="BJ5" s="8" t="n">
        <v>731651</v>
      </c>
    </row>
    <row r="6" customFormat="false" ht="14.65" hidden="false" customHeight="false" outlineLevel="0" collapsed="false">
      <c r="A6" s="10" t="s">
        <v>66</v>
      </c>
      <c r="B6" s="2" t="n">
        <v>513828</v>
      </c>
      <c r="C6" s="2" t="n">
        <v>881208</v>
      </c>
      <c r="D6" s="2" t="n">
        <v>1395036</v>
      </c>
      <c r="E6" s="2" t="n">
        <v>51921</v>
      </c>
      <c r="F6" s="2" t="n">
        <v>80647</v>
      </c>
      <c r="G6" s="2" t="n">
        <v>132568</v>
      </c>
      <c r="H6" s="2" t="n">
        <v>61578</v>
      </c>
      <c r="I6" s="2" t="n">
        <v>678709</v>
      </c>
      <c r="J6" s="2" t="n">
        <v>740287</v>
      </c>
      <c r="K6" s="2" t="n">
        <v>44901</v>
      </c>
      <c r="L6" s="2" t="n">
        <v>164991</v>
      </c>
      <c r="M6" s="2" t="n">
        <v>209892</v>
      </c>
      <c r="N6" s="2" t="n">
        <v>575406</v>
      </c>
      <c r="O6" s="2" t="n">
        <v>1559917</v>
      </c>
      <c r="P6" s="2" t="n">
        <v>2135323</v>
      </c>
      <c r="Q6" s="2" t="n">
        <v>96822</v>
      </c>
      <c r="R6" s="2" t="n">
        <v>245638</v>
      </c>
      <c r="S6" s="2" t="n">
        <v>342460</v>
      </c>
      <c r="T6" s="2" t="n">
        <v>1356</v>
      </c>
      <c r="U6" s="2" t="n">
        <f aca="false">+V6-T6</f>
        <v>86784</v>
      </c>
      <c r="V6" s="2" t="n">
        <v>88140</v>
      </c>
      <c r="W6" s="2" t="n">
        <v>1067</v>
      </c>
      <c r="X6" s="2" t="n">
        <v>1393</v>
      </c>
      <c r="Y6" s="2" t="n">
        <f aca="false">+Z6-W6-X6</f>
        <v>166741</v>
      </c>
      <c r="Z6" s="2" t="n">
        <v>169201</v>
      </c>
      <c r="AA6" s="2" t="n">
        <v>940</v>
      </c>
      <c r="AB6" s="2" t="n">
        <v>127</v>
      </c>
      <c r="AC6" s="2" t="n">
        <v>286</v>
      </c>
      <c r="AD6" s="2" t="n">
        <v>1070</v>
      </c>
      <c r="AE6" s="6" t="n">
        <v>69.3</v>
      </c>
      <c r="AF6" s="6" t="n">
        <v>17.2</v>
      </c>
      <c r="AG6" s="6" t="n">
        <f aca="false">100-AE6-AF6</f>
        <v>13.5</v>
      </c>
      <c r="AH6" s="6" t="n">
        <v>86.2</v>
      </c>
      <c r="AI6" s="6" t="n">
        <v>110</v>
      </c>
      <c r="AJ6" s="6" t="n">
        <f aca="false">100-AH6-AI6</f>
        <v>-96.2</v>
      </c>
      <c r="AK6" s="7" t="n">
        <v>0</v>
      </c>
      <c r="AL6" s="7" t="n">
        <v>0</v>
      </c>
      <c r="AM6" s="7" t="n">
        <v>1</v>
      </c>
      <c r="AN6" s="7" t="n">
        <v>0</v>
      </c>
      <c r="AO6" s="7" t="n">
        <v>0</v>
      </c>
      <c r="AP6" s="7" t="n">
        <v>0</v>
      </c>
      <c r="AQ6" s="2" t="n">
        <v>14322</v>
      </c>
      <c r="AR6" s="2" t="n">
        <v>37875</v>
      </c>
      <c r="AS6" s="2" t="n">
        <v>52197</v>
      </c>
      <c r="AT6" s="2" t="n">
        <v>52566</v>
      </c>
      <c r="AU6" s="2" t="n">
        <v>42332</v>
      </c>
      <c r="AV6" s="2" t="n">
        <v>115453</v>
      </c>
      <c r="AW6" s="2" t="n">
        <v>210351</v>
      </c>
      <c r="AX6" s="11" t="n">
        <v>2089004</v>
      </c>
      <c r="AY6" s="11" t="n">
        <v>1700434</v>
      </c>
      <c r="AZ6" s="11" t="n">
        <v>15983</v>
      </c>
      <c r="BA6" s="11" t="n">
        <v>3805421</v>
      </c>
      <c r="BB6" s="12" t="n">
        <v>511977</v>
      </c>
      <c r="BC6" s="11" t="n">
        <v>1474922</v>
      </c>
      <c r="BD6" s="11" t="n">
        <v>1685</v>
      </c>
      <c r="BE6" s="11" t="n">
        <v>1988584</v>
      </c>
      <c r="BF6" s="12" t="n">
        <v>1046908</v>
      </c>
      <c r="BG6" s="11" t="n">
        <v>1182559</v>
      </c>
      <c r="BH6" s="11" t="n">
        <v>58263</v>
      </c>
      <c r="BI6" s="11" t="n">
        <v>35336</v>
      </c>
      <c r="BJ6" s="11" t="n">
        <v>8117071</v>
      </c>
    </row>
    <row r="7" customFormat="false" ht="14.65" hidden="false" customHeight="false" outlineLevel="0" collapsed="false">
      <c r="A7" s="5" t="s">
        <v>67</v>
      </c>
      <c r="B7" s="2" t="n">
        <v>92615</v>
      </c>
      <c r="C7" s="2" t="n">
        <v>88050</v>
      </c>
      <c r="D7" s="2" t="n">
        <v>180665</v>
      </c>
      <c r="E7" s="2" t="n">
        <v>7308</v>
      </c>
      <c r="F7" s="2" t="n">
        <v>36948</v>
      </c>
      <c r="G7" s="2" t="n">
        <v>44256</v>
      </c>
      <c r="H7" s="2" t="n">
        <v>80658</v>
      </c>
      <c r="I7" s="2" t="n">
        <v>79953</v>
      </c>
      <c r="J7" s="2" t="n">
        <v>160611</v>
      </c>
      <c r="K7" s="2" t="n">
        <v>18067</v>
      </c>
      <c r="L7" s="2" t="n">
        <v>62885</v>
      </c>
      <c r="M7" s="2" t="n">
        <v>80952</v>
      </c>
      <c r="N7" s="2" t="n">
        <v>173273</v>
      </c>
      <c r="O7" s="2" t="n">
        <v>168003</v>
      </c>
      <c r="P7" s="2" t="n">
        <v>341276</v>
      </c>
      <c r="Q7" s="2" t="n">
        <v>25375</v>
      </c>
      <c r="R7" s="2" t="n">
        <v>99833</v>
      </c>
      <c r="S7" s="2" t="n">
        <v>125208</v>
      </c>
      <c r="T7" s="2" t="n">
        <v>768</v>
      </c>
      <c r="U7" s="2" t="n">
        <f aca="false">+V7-T7</f>
        <v>65050</v>
      </c>
      <c r="V7" s="2" t="n">
        <v>65818</v>
      </c>
      <c r="W7" s="2" t="n">
        <v>186</v>
      </c>
      <c r="X7" s="2" t="n">
        <v>216</v>
      </c>
      <c r="Y7" s="2" t="n">
        <f aca="false">+Z7-W7-X7</f>
        <v>78319</v>
      </c>
      <c r="Z7" s="2" t="n">
        <v>78721</v>
      </c>
      <c r="AA7" s="2" t="n">
        <v>62</v>
      </c>
      <c r="AB7" s="2" t="n">
        <v>124</v>
      </c>
      <c r="AC7" s="2" t="n">
        <v>21</v>
      </c>
      <c r="AD7" s="2" t="n">
        <v>747</v>
      </c>
      <c r="AE7" s="6" t="n">
        <v>79.3</v>
      </c>
      <c r="AF7" s="6" t="n">
        <v>5.3</v>
      </c>
      <c r="AG7" s="6" t="n">
        <f aca="false">100-AE7-AF7</f>
        <v>15.4</v>
      </c>
      <c r="AH7" s="6" t="n">
        <v>92.7</v>
      </c>
      <c r="AI7" s="6" t="n">
        <v>3.9</v>
      </c>
      <c r="AJ7" s="6" t="n">
        <f aca="false">100-AH7-AI7</f>
        <v>3.4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2" t="n">
        <v>3661</v>
      </c>
      <c r="AR7" s="2" t="n">
        <v>8913</v>
      </c>
      <c r="AS7" s="2" t="n">
        <v>12574</v>
      </c>
      <c r="AT7" s="2" t="n">
        <v>3793</v>
      </c>
      <c r="AU7" s="2" t="n">
        <v>2406</v>
      </c>
      <c r="AV7" s="2" t="n">
        <v>12035</v>
      </c>
      <c r="AW7" s="2" t="n">
        <v>18234</v>
      </c>
      <c r="AX7" s="8" t="n">
        <v>386491</v>
      </c>
      <c r="AY7" s="8" t="n">
        <v>179430</v>
      </c>
      <c r="AZ7" s="8" t="n">
        <v>3453</v>
      </c>
      <c r="BA7" s="8" t="n">
        <v>569374</v>
      </c>
      <c r="BB7" s="9" t="n">
        <v>128060</v>
      </c>
      <c r="BC7" s="8" t="n">
        <v>236345</v>
      </c>
      <c r="BD7" s="8" t="n">
        <v>921</v>
      </c>
      <c r="BE7" s="8" t="n">
        <v>365326</v>
      </c>
      <c r="BF7" s="9" t="n">
        <v>52531</v>
      </c>
      <c r="BG7" s="8" t="n">
        <v>96886</v>
      </c>
      <c r="BH7" s="8" t="n">
        <v>43258</v>
      </c>
      <c r="BI7" s="8" t="n">
        <v>63757</v>
      </c>
      <c r="BJ7" s="8" t="n">
        <v>1191132</v>
      </c>
    </row>
    <row r="8" customFormat="false" ht="14.65" hidden="false" customHeight="false" outlineLevel="0" collapsed="false">
      <c r="A8" s="5" t="s">
        <v>68</v>
      </c>
      <c r="B8" s="2" t="n">
        <v>183530</v>
      </c>
      <c r="C8" s="2" t="n">
        <v>329367</v>
      </c>
      <c r="D8" s="2" t="n">
        <v>512897</v>
      </c>
      <c r="E8" s="2" t="n">
        <v>3246</v>
      </c>
      <c r="F8" s="2" t="n">
        <v>26674</v>
      </c>
      <c r="G8" s="2" t="n">
        <v>29920</v>
      </c>
      <c r="H8" s="2" t="n">
        <v>30305</v>
      </c>
      <c r="I8" s="2" t="n">
        <v>44920</v>
      </c>
      <c r="J8" s="2" t="n">
        <v>75225</v>
      </c>
      <c r="K8" s="2" t="n">
        <v>1366</v>
      </c>
      <c r="L8" s="2" t="n">
        <v>18028</v>
      </c>
      <c r="M8" s="2" t="n">
        <v>19394</v>
      </c>
      <c r="N8" s="2" t="n">
        <v>213835</v>
      </c>
      <c r="O8" s="2" t="n">
        <v>374287</v>
      </c>
      <c r="P8" s="2" t="n">
        <v>588122</v>
      </c>
      <c r="Q8" s="2" t="n">
        <v>4612</v>
      </c>
      <c r="R8" s="2" t="n">
        <v>44702</v>
      </c>
      <c r="S8" s="2" t="n">
        <v>49314</v>
      </c>
      <c r="T8" s="2" t="n">
        <v>101</v>
      </c>
      <c r="U8" s="2" t="n">
        <f aca="false">+V8-T8</f>
        <v>8713</v>
      </c>
      <c r="V8" s="2" t="n">
        <v>8814</v>
      </c>
      <c r="W8" s="2" t="n">
        <v>242</v>
      </c>
      <c r="X8" s="2" t="n">
        <v>197</v>
      </c>
      <c r="Y8" s="2" t="n">
        <f aca="false">+Z8-W8-X8</f>
        <v>19918</v>
      </c>
      <c r="Z8" s="2" t="n">
        <v>20357</v>
      </c>
      <c r="AA8" s="2" t="n">
        <v>168</v>
      </c>
      <c r="AB8" s="2" t="n">
        <v>74</v>
      </c>
      <c r="AC8" s="2" t="n">
        <v>22</v>
      </c>
      <c r="AD8" s="2" t="n">
        <v>79</v>
      </c>
      <c r="AE8" s="6" t="n">
        <v>79.5</v>
      </c>
      <c r="AF8" s="6" t="n">
        <v>13.1</v>
      </c>
      <c r="AG8" s="6" t="n">
        <f aca="false">100-AE8-AF8</f>
        <v>7.4</v>
      </c>
      <c r="AH8" s="6" t="n">
        <v>83.2</v>
      </c>
      <c r="AI8" s="6" t="n">
        <v>12</v>
      </c>
      <c r="AJ8" s="6" t="n">
        <f aca="false">100-AH8-AI8</f>
        <v>4.8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1</v>
      </c>
      <c r="AQ8" s="2" t="n">
        <v>1357</v>
      </c>
      <c r="AR8" s="2" t="n">
        <v>4711</v>
      </c>
      <c r="AS8" s="2" t="n">
        <v>6068</v>
      </c>
      <c r="AT8" s="2" t="n">
        <v>6758</v>
      </c>
      <c r="AU8" s="2" t="n">
        <v>2623</v>
      </c>
      <c r="AV8" s="2" t="n">
        <v>11010</v>
      </c>
      <c r="AW8" s="2" t="n">
        <v>20391</v>
      </c>
      <c r="AX8" s="8" t="n">
        <v>691154</v>
      </c>
      <c r="AY8" s="8" t="n">
        <v>70521</v>
      </c>
      <c r="AZ8" s="8" t="n">
        <v>0</v>
      </c>
      <c r="BA8" s="8" t="n">
        <v>761675</v>
      </c>
      <c r="BB8" s="9" t="n">
        <v>60753</v>
      </c>
      <c r="BC8" s="8" t="n">
        <v>156338</v>
      </c>
      <c r="BD8" s="8" t="n">
        <v>0</v>
      </c>
      <c r="BE8" s="8" t="n">
        <v>217091</v>
      </c>
      <c r="BF8" s="9" t="n">
        <v>75613</v>
      </c>
      <c r="BG8" s="8" t="n">
        <v>17130</v>
      </c>
      <c r="BH8" s="8" t="n">
        <v>168579</v>
      </c>
      <c r="BI8" s="8" t="n">
        <v>206380</v>
      </c>
      <c r="BJ8" s="8" t="n">
        <v>1446468</v>
      </c>
    </row>
    <row r="9" customFormat="false" ht="14.65" hidden="false" customHeight="false" outlineLevel="0" collapsed="false">
      <c r="A9" s="5" t="s">
        <v>69</v>
      </c>
      <c r="B9" s="2" t="n">
        <v>22297</v>
      </c>
      <c r="C9" s="2" t="n">
        <v>87042</v>
      </c>
      <c r="D9" s="2" t="n">
        <v>109339</v>
      </c>
      <c r="E9" s="2" t="n">
        <v>3083</v>
      </c>
      <c r="F9" s="2" t="n">
        <v>25363</v>
      </c>
      <c r="G9" s="2" t="n">
        <v>28446</v>
      </c>
      <c r="H9" s="2" t="n">
        <v>0</v>
      </c>
      <c r="I9" s="2" t="n">
        <v>96196</v>
      </c>
      <c r="J9" s="2" t="n">
        <v>96196</v>
      </c>
      <c r="K9" s="2" t="n">
        <v>0</v>
      </c>
      <c r="L9" s="2" t="n">
        <v>673</v>
      </c>
      <c r="M9" s="2" t="n">
        <v>673</v>
      </c>
      <c r="N9" s="2" t="n">
        <v>22297</v>
      </c>
      <c r="O9" s="2" t="n">
        <v>183238</v>
      </c>
      <c r="P9" s="2" t="n">
        <v>205535</v>
      </c>
      <c r="Q9" s="2" t="n">
        <v>3083</v>
      </c>
      <c r="R9" s="2" t="n">
        <v>26036</v>
      </c>
      <c r="S9" s="2" t="n">
        <v>29119</v>
      </c>
      <c r="T9" s="2" t="n">
        <v>0</v>
      </c>
      <c r="U9" s="2" t="n">
        <f aca="false">+V9-T9</f>
        <v>3675</v>
      </c>
      <c r="V9" s="2" t="n">
        <v>3675</v>
      </c>
      <c r="W9" s="2" t="n">
        <v>41</v>
      </c>
      <c r="X9" s="2" t="n">
        <v>9</v>
      </c>
      <c r="Y9" s="2" t="n">
        <f aca="false">+Z9-W9-X9</f>
        <v>5494</v>
      </c>
      <c r="Z9" s="2" t="n">
        <v>5544</v>
      </c>
      <c r="AA9" s="2" t="n">
        <v>30</v>
      </c>
      <c r="AB9" s="2" t="n">
        <v>11</v>
      </c>
      <c r="AC9" s="2" t="n">
        <v>0</v>
      </c>
      <c r="AD9" s="2" t="n">
        <v>0</v>
      </c>
      <c r="AE9" s="6" t="n">
        <v>100</v>
      </c>
      <c r="AF9" s="6" t="n">
        <v>0</v>
      </c>
      <c r="AG9" s="6" t="n">
        <v>0</v>
      </c>
      <c r="AH9" s="6" t="n">
        <v>63.5</v>
      </c>
      <c r="AI9" s="6" t="n">
        <v>25.2</v>
      </c>
      <c r="AJ9" s="6" t="n">
        <f aca="false">100-AH9-AI9</f>
        <v>11.3</v>
      </c>
      <c r="AK9" s="7" t="n">
        <v>0</v>
      </c>
      <c r="AL9" s="7" t="n">
        <v>0</v>
      </c>
      <c r="AM9" s="7" t="n">
        <v>0</v>
      </c>
      <c r="AN9" s="7" t="n">
        <v>1</v>
      </c>
      <c r="AO9" s="7" t="n">
        <v>0</v>
      </c>
      <c r="AP9" s="7" t="n">
        <v>0</v>
      </c>
      <c r="AQ9" s="2" t="n">
        <v>0</v>
      </c>
      <c r="AR9" s="2" t="n">
        <v>2685</v>
      </c>
      <c r="AS9" s="2" t="n">
        <v>2685</v>
      </c>
      <c r="AT9" s="2" t="n">
        <v>989</v>
      </c>
      <c r="AU9" s="2" t="n">
        <v>38</v>
      </c>
      <c r="AV9" s="2" t="n">
        <v>3180</v>
      </c>
      <c r="AW9" s="2" t="n">
        <v>4207</v>
      </c>
      <c r="AX9" s="8" t="n">
        <v>193959</v>
      </c>
      <c r="AY9" s="8" t="n">
        <v>3375</v>
      </c>
      <c r="AZ9" s="8" t="n">
        <v>14559</v>
      </c>
      <c r="BA9" s="8" t="n">
        <v>211893</v>
      </c>
      <c r="BB9" s="9" t="n">
        <v>55562</v>
      </c>
      <c r="BC9" s="8" t="n">
        <v>8148</v>
      </c>
      <c r="BD9" s="8" t="n">
        <v>0</v>
      </c>
      <c r="BE9" s="8" t="n">
        <v>63710</v>
      </c>
      <c r="BF9" s="9" t="n">
        <v>50696</v>
      </c>
      <c r="BG9" s="8" t="n">
        <v>36496</v>
      </c>
      <c r="BH9" s="8" t="n">
        <v>46059</v>
      </c>
      <c r="BI9" s="8" t="n">
        <v>26331</v>
      </c>
      <c r="BJ9" s="8" t="n">
        <v>435185</v>
      </c>
    </row>
    <row r="10" customFormat="false" ht="14.65" hidden="false" customHeight="false" outlineLevel="0" collapsed="false">
      <c r="A10" s="10" t="s">
        <v>70</v>
      </c>
      <c r="B10" s="2" t="n">
        <v>21573</v>
      </c>
      <c r="C10" s="2" t="n">
        <v>86621</v>
      </c>
      <c r="D10" s="2" t="n">
        <v>108194</v>
      </c>
      <c r="E10" s="2" t="n">
        <v>1848</v>
      </c>
      <c r="F10" s="2" t="n">
        <v>26106</v>
      </c>
      <c r="G10" s="2" t="n">
        <v>27954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21573</v>
      </c>
      <c r="O10" s="2" t="n">
        <v>86621</v>
      </c>
      <c r="P10" s="2" t="n">
        <v>108194</v>
      </c>
      <c r="Q10" s="2" t="n">
        <v>1848</v>
      </c>
      <c r="R10" s="2" t="n">
        <v>26106</v>
      </c>
      <c r="S10" s="2" t="n">
        <v>27954</v>
      </c>
      <c r="T10" s="2" t="n">
        <v>0</v>
      </c>
      <c r="U10" s="2" t="n">
        <f aca="false">+V10-T10</f>
        <v>0</v>
      </c>
      <c r="V10" s="2" t="n">
        <v>0</v>
      </c>
      <c r="W10" s="2" t="n">
        <v>14</v>
      </c>
      <c r="X10" s="2" t="n">
        <v>19</v>
      </c>
      <c r="Y10" s="2" t="n">
        <f aca="false">+Z10-W10-X10</f>
        <v>1074</v>
      </c>
      <c r="Z10" s="2" t="n">
        <v>1107</v>
      </c>
      <c r="AA10" s="2" t="n">
        <v>10</v>
      </c>
      <c r="AB10" s="2" t="n">
        <v>4</v>
      </c>
      <c r="AC10" s="2" t="n">
        <v>0</v>
      </c>
      <c r="AD10" s="2" t="n">
        <v>0</v>
      </c>
      <c r="AE10" s="6" t="n">
        <v>100</v>
      </c>
      <c r="AF10" s="6" t="n">
        <v>0</v>
      </c>
      <c r="AG10" s="6" t="n">
        <v>0</v>
      </c>
      <c r="AH10" s="6" t="n">
        <v>97.1</v>
      </c>
      <c r="AI10" s="6" t="n">
        <v>2.6</v>
      </c>
      <c r="AJ10" s="6" t="n">
        <f aca="false">100-AH10-AI10</f>
        <v>0.300000000000006</v>
      </c>
      <c r="AK10" s="7" t="n">
        <v>0</v>
      </c>
      <c r="AL10" s="7" t="n">
        <v>0</v>
      </c>
      <c r="AM10" s="7" t="n">
        <v>0</v>
      </c>
      <c r="AN10" s="7" t="n">
        <v>1</v>
      </c>
      <c r="AO10" s="7" t="n">
        <v>0</v>
      </c>
      <c r="AP10" s="7" t="n">
        <v>0</v>
      </c>
      <c r="AQ10" s="2" t="n">
        <v>0</v>
      </c>
      <c r="AR10" s="2" t="n">
        <v>0</v>
      </c>
      <c r="AS10" s="2" t="n">
        <v>0</v>
      </c>
      <c r="AT10" s="2" t="n">
        <v>469</v>
      </c>
      <c r="AU10" s="2" t="n">
        <v>393</v>
      </c>
      <c r="AV10" s="2" t="n">
        <v>2700</v>
      </c>
      <c r="AW10" s="2" t="n">
        <v>3562</v>
      </c>
      <c r="AX10" s="11" t="n">
        <v>0</v>
      </c>
      <c r="AY10" s="11" t="n">
        <v>101042</v>
      </c>
      <c r="AZ10" s="11" t="n">
        <v>5176</v>
      </c>
      <c r="BA10" s="11" t="n">
        <v>106218</v>
      </c>
      <c r="BB10" s="12" t="n">
        <v>0</v>
      </c>
      <c r="BC10" s="11" t="n">
        <v>28524</v>
      </c>
      <c r="BD10" s="11" t="n">
        <v>12</v>
      </c>
      <c r="BE10" s="11" t="n">
        <v>28536</v>
      </c>
      <c r="BF10" s="12" t="n">
        <v>19715</v>
      </c>
      <c r="BG10" s="11" t="n">
        <v>0</v>
      </c>
      <c r="BH10" s="11" t="n">
        <v>73135</v>
      </c>
      <c r="BI10" s="11" t="n">
        <v>46061</v>
      </c>
      <c r="BJ10" s="11" t="n">
        <v>273665</v>
      </c>
    </row>
    <row r="11" customFormat="false" ht="14.65" hidden="false" customHeight="false" outlineLevel="0" collapsed="false">
      <c r="A11" s="5" t="s">
        <v>71</v>
      </c>
      <c r="B11" s="2" t="n">
        <v>225241</v>
      </c>
      <c r="C11" s="2" t="n">
        <v>864268</v>
      </c>
      <c r="D11" s="2" t="n">
        <v>1089509</v>
      </c>
      <c r="E11" s="2" t="n">
        <v>3581</v>
      </c>
      <c r="F11" s="2" t="n">
        <v>111397</v>
      </c>
      <c r="G11" s="2" t="n">
        <v>114978</v>
      </c>
      <c r="H11" s="2" t="n">
        <v>94234</v>
      </c>
      <c r="I11" s="2" t="n">
        <v>501226</v>
      </c>
      <c r="J11" s="2" t="n">
        <v>595460</v>
      </c>
      <c r="K11" s="2" t="n">
        <v>8772</v>
      </c>
      <c r="L11" s="2" t="n">
        <v>73647</v>
      </c>
      <c r="M11" s="2" t="n">
        <v>82419</v>
      </c>
      <c r="N11" s="2" t="n">
        <v>319475</v>
      </c>
      <c r="O11" s="2" t="n">
        <v>1365494</v>
      </c>
      <c r="P11" s="2" t="n">
        <v>1684969</v>
      </c>
      <c r="Q11" s="2" t="n">
        <v>12353</v>
      </c>
      <c r="R11" s="2" t="n">
        <v>185044</v>
      </c>
      <c r="S11" s="2" t="n">
        <v>197397</v>
      </c>
      <c r="T11" s="2" t="n">
        <v>1019</v>
      </c>
      <c r="U11" s="2" t="n">
        <f aca="false">+V11-T11</f>
        <v>62611</v>
      </c>
      <c r="V11" s="2" t="n">
        <v>63630</v>
      </c>
      <c r="W11" s="2" t="n">
        <v>424</v>
      </c>
      <c r="X11" s="2" t="n">
        <v>284</v>
      </c>
      <c r="Y11" s="2" t="n">
        <f aca="false">+Z11-W11-X11</f>
        <v>112100</v>
      </c>
      <c r="Z11" s="2" t="n">
        <v>112808</v>
      </c>
      <c r="AA11" s="2" t="n">
        <v>205</v>
      </c>
      <c r="AB11" s="2" t="n">
        <v>219</v>
      </c>
      <c r="AC11" s="2" t="n">
        <v>100</v>
      </c>
      <c r="AD11" s="2" t="n">
        <v>919</v>
      </c>
      <c r="AE11" s="6" t="n">
        <v>74.8</v>
      </c>
      <c r="AF11" s="6" t="n">
        <v>11.9</v>
      </c>
      <c r="AG11" s="6" t="n">
        <f aca="false">100-AE11-AF11</f>
        <v>13.3</v>
      </c>
      <c r="AH11" s="6" t="n">
        <v>82.3</v>
      </c>
      <c r="AI11" s="6" t="n">
        <v>11.7</v>
      </c>
      <c r="AJ11" s="6" t="n">
        <f aca="false">100-AH11-AI11</f>
        <v>6</v>
      </c>
      <c r="AK11" s="7" t="n">
        <v>0</v>
      </c>
      <c r="AL11" s="7" t="n">
        <v>0</v>
      </c>
      <c r="AM11" s="7" t="n">
        <v>0</v>
      </c>
      <c r="AN11" s="7" t="n">
        <v>1</v>
      </c>
      <c r="AO11" s="7" t="n">
        <v>0</v>
      </c>
      <c r="AP11" s="7" t="n">
        <v>0</v>
      </c>
      <c r="AQ11" s="2" t="n">
        <v>10183</v>
      </c>
      <c r="AR11" s="2" t="n">
        <v>24818</v>
      </c>
      <c r="AS11" s="2" t="n">
        <v>35001</v>
      </c>
      <c r="AT11" s="2" t="n">
        <v>12034</v>
      </c>
      <c r="AU11" s="2" t="n">
        <v>4319</v>
      </c>
      <c r="AV11" s="2" t="n">
        <v>68514</v>
      </c>
      <c r="AW11" s="2" t="n">
        <v>84867</v>
      </c>
      <c r="AX11" s="8" t="n">
        <v>1440203</v>
      </c>
      <c r="AY11" s="8" t="n">
        <v>681642</v>
      </c>
      <c r="AZ11" s="8" t="n">
        <v>682</v>
      </c>
      <c r="BA11" s="8" t="n">
        <v>2122527</v>
      </c>
      <c r="BB11" s="9" t="n">
        <v>282812</v>
      </c>
      <c r="BC11" s="8" t="n">
        <v>366381</v>
      </c>
      <c r="BD11" s="8" t="n">
        <v>312</v>
      </c>
      <c r="BE11" s="8" t="n">
        <v>649505</v>
      </c>
      <c r="BF11" s="9" t="n">
        <v>428351</v>
      </c>
      <c r="BG11" s="8" t="n">
        <v>271756</v>
      </c>
      <c r="BH11" s="8" t="n">
        <v>232516</v>
      </c>
      <c r="BI11" s="8" t="n">
        <v>153681</v>
      </c>
      <c r="BJ11" s="8" t="n">
        <v>3858336</v>
      </c>
    </row>
    <row r="12" customFormat="false" ht="14.65" hidden="false" customHeight="false" outlineLevel="0" collapsed="false">
      <c r="A12" s="5" t="s">
        <v>72</v>
      </c>
      <c r="B12" s="2" t="n">
        <v>169131</v>
      </c>
      <c r="C12" s="2" t="n">
        <v>255256</v>
      </c>
      <c r="D12" s="2" t="n">
        <v>424387</v>
      </c>
      <c r="E12" s="2" t="n">
        <v>6644</v>
      </c>
      <c r="F12" s="2" t="n">
        <v>44293</v>
      </c>
      <c r="G12" s="2" t="n">
        <v>50937</v>
      </c>
      <c r="H12" s="2" t="n">
        <v>56115</v>
      </c>
      <c r="I12" s="2" t="n">
        <v>257194</v>
      </c>
      <c r="J12" s="2" t="n">
        <v>313309</v>
      </c>
      <c r="K12" s="2" t="n">
        <v>6110</v>
      </c>
      <c r="L12" s="2" t="n">
        <v>106470</v>
      </c>
      <c r="M12" s="2" t="n">
        <v>112580</v>
      </c>
      <c r="N12" s="2" t="n">
        <v>225246</v>
      </c>
      <c r="O12" s="2" t="n">
        <v>512450</v>
      </c>
      <c r="P12" s="2" t="n">
        <v>737696</v>
      </c>
      <c r="Q12" s="2" t="n">
        <v>12754</v>
      </c>
      <c r="R12" s="2" t="n">
        <v>150763</v>
      </c>
      <c r="S12" s="2" t="n">
        <v>163517</v>
      </c>
      <c r="T12" s="2" t="n">
        <v>809</v>
      </c>
      <c r="U12" s="2" t="n">
        <f aca="false">+V12-T12</f>
        <v>83796</v>
      </c>
      <c r="V12" s="2" t="n">
        <v>84605</v>
      </c>
      <c r="W12" s="2" t="n">
        <v>434</v>
      </c>
      <c r="X12" s="2" t="n">
        <v>167</v>
      </c>
      <c r="Y12" s="2" t="n">
        <f aca="false">+Z12-W12-X12</f>
        <v>110278</v>
      </c>
      <c r="Z12" s="2" t="n">
        <v>110879</v>
      </c>
      <c r="AA12" s="2" t="n">
        <v>271</v>
      </c>
      <c r="AB12" s="2" t="n">
        <v>163</v>
      </c>
      <c r="AC12" s="2" t="n">
        <v>115</v>
      </c>
      <c r="AD12" s="2" t="n">
        <v>694</v>
      </c>
      <c r="AE12" s="6" t="n">
        <v>61.1</v>
      </c>
      <c r="AF12" s="6" t="n">
        <v>19.3</v>
      </c>
      <c r="AG12" s="6" t="n">
        <f aca="false">100-AE12-AF12</f>
        <v>19.6</v>
      </c>
      <c r="AH12" s="6" t="n">
        <v>66.7</v>
      </c>
      <c r="AI12" s="6" t="n">
        <v>24.9</v>
      </c>
      <c r="AJ12" s="6" t="n">
        <f aca="false">100-AH12-AI12</f>
        <v>8.4</v>
      </c>
      <c r="AK12" s="7" t="n">
        <v>0</v>
      </c>
      <c r="AL12" s="7" t="n">
        <v>0</v>
      </c>
      <c r="AM12" s="7" t="n">
        <v>0</v>
      </c>
      <c r="AN12" s="7" t="n">
        <v>1</v>
      </c>
      <c r="AO12" s="7" t="n">
        <v>0</v>
      </c>
      <c r="AP12" s="7" t="n">
        <v>0</v>
      </c>
      <c r="AQ12" s="2" t="n">
        <v>8419</v>
      </c>
      <c r="AR12" s="2" t="n">
        <v>23753</v>
      </c>
      <c r="AS12" s="2" t="n">
        <v>32172</v>
      </c>
      <c r="AT12" s="2" t="n">
        <v>11889</v>
      </c>
      <c r="AU12" s="2" t="n">
        <v>1646</v>
      </c>
      <c r="AV12" s="2" t="n">
        <v>32197</v>
      </c>
      <c r="AW12" s="2" t="n">
        <v>45732</v>
      </c>
      <c r="AX12" s="8" t="n">
        <v>699149</v>
      </c>
      <c r="AY12" s="8" t="n">
        <v>174244</v>
      </c>
      <c r="AZ12" s="8" t="n">
        <v>724</v>
      </c>
      <c r="BA12" s="8" t="n">
        <v>874117</v>
      </c>
      <c r="BB12" s="9" t="n">
        <v>185909</v>
      </c>
      <c r="BC12" s="8" t="n">
        <v>260614</v>
      </c>
      <c r="BD12" s="8" t="n">
        <v>15</v>
      </c>
      <c r="BE12" s="8" t="n">
        <v>446538</v>
      </c>
      <c r="BF12" s="9" t="n">
        <v>113627</v>
      </c>
      <c r="BG12" s="8" t="n">
        <v>127181</v>
      </c>
      <c r="BH12" s="8" t="n">
        <v>46645</v>
      </c>
      <c r="BI12" s="8" t="n">
        <v>300966</v>
      </c>
      <c r="BJ12" s="8" t="n">
        <v>1909074</v>
      </c>
    </row>
    <row r="13" customFormat="false" ht="14.65" hidden="false" customHeight="false" outlineLevel="0" collapsed="false">
      <c r="A13" s="5" t="s">
        <v>73</v>
      </c>
      <c r="B13" s="2" t="n">
        <v>191402</v>
      </c>
      <c r="C13" s="2" t="n">
        <v>39912</v>
      </c>
      <c r="D13" s="2" t="n">
        <v>231314</v>
      </c>
      <c r="E13" s="2" t="n">
        <v>1960</v>
      </c>
      <c r="F13" s="2" t="n">
        <v>4246</v>
      </c>
      <c r="G13" s="2" t="n">
        <v>6206</v>
      </c>
      <c r="H13" s="2" t="n">
        <v>20447</v>
      </c>
      <c r="I13" s="2" t="n">
        <v>51985</v>
      </c>
      <c r="J13" s="2" t="n">
        <v>72432</v>
      </c>
      <c r="K13" s="2" t="n">
        <v>700</v>
      </c>
      <c r="L13" s="2" t="n">
        <v>8175</v>
      </c>
      <c r="M13" s="2" t="n">
        <v>8875</v>
      </c>
      <c r="N13" s="2" t="n">
        <v>211849</v>
      </c>
      <c r="O13" s="2" t="n">
        <v>91897</v>
      </c>
      <c r="P13" s="2" t="n">
        <v>303746</v>
      </c>
      <c r="Q13" s="2" t="n">
        <v>2660</v>
      </c>
      <c r="R13" s="2" t="n">
        <v>12421</v>
      </c>
      <c r="S13" s="2" t="n">
        <v>15081</v>
      </c>
      <c r="T13" s="2" t="n">
        <v>0</v>
      </c>
      <c r="U13" s="2" t="n">
        <f aca="false">+V13-T13</f>
        <v>2307</v>
      </c>
      <c r="V13" s="2" t="n">
        <v>2307</v>
      </c>
      <c r="W13" s="2" t="n">
        <v>44</v>
      </c>
      <c r="X13" s="2" t="n">
        <v>53</v>
      </c>
      <c r="Y13" s="2" t="n">
        <f aca="false">+Z13-W13-X13</f>
        <v>4009</v>
      </c>
      <c r="Z13" s="2" t="n">
        <v>4106</v>
      </c>
      <c r="AA13" s="2" t="n">
        <v>38</v>
      </c>
      <c r="AB13" s="2" t="n">
        <v>6</v>
      </c>
      <c r="AC13" s="2" t="n">
        <v>0</v>
      </c>
      <c r="AD13" s="2" t="n">
        <v>0</v>
      </c>
      <c r="AE13" s="6" t="n">
        <v>100</v>
      </c>
      <c r="AF13" s="6" t="n">
        <v>0</v>
      </c>
      <c r="AG13" s="6" t="n">
        <v>0</v>
      </c>
      <c r="AH13" s="6" t="n">
        <v>79.3</v>
      </c>
      <c r="AI13" s="6" t="n">
        <v>20.1</v>
      </c>
      <c r="AJ13" s="6" t="n">
        <f aca="false">100-AH13-AI13</f>
        <v>0.600000000000001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2" t="n">
        <v>0</v>
      </c>
      <c r="AR13" s="2" t="n">
        <v>2148</v>
      </c>
      <c r="AS13" s="2" t="n">
        <v>2148</v>
      </c>
      <c r="AT13" s="2" t="n">
        <v>1533</v>
      </c>
      <c r="AU13" s="2" t="n">
        <v>804</v>
      </c>
      <c r="AV13" s="2" t="n">
        <v>3581</v>
      </c>
      <c r="AW13" s="2" t="n">
        <v>5918</v>
      </c>
      <c r="AX13" s="8" t="n">
        <v>316797</v>
      </c>
      <c r="AY13" s="8" t="n">
        <v>23410</v>
      </c>
      <c r="AZ13" s="8" t="n">
        <v>263</v>
      </c>
      <c r="BA13" s="8" t="n">
        <v>340470</v>
      </c>
      <c r="BB13" s="9" t="n">
        <v>19793</v>
      </c>
      <c r="BC13" s="8" t="n">
        <v>50294</v>
      </c>
      <c r="BD13" s="8" t="n">
        <v>0</v>
      </c>
      <c r="BE13" s="8" t="n">
        <v>70087</v>
      </c>
      <c r="BF13" s="9" t="n">
        <v>38613</v>
      </c>
      <c r="BG13" s="8" t="n">
        <v>16365</v>
      </c>
      <c r="BH13" s="8" t="n">
        <v>18968</v>
      </c>
      <c r="BI13" s="8" t="n">
        <v>22637</v>
      </c>
      <c r="BJ13" s="8" t="n">
        <v>507140</v>
      </c>
    </row>
    <row r="14" customFormat="false" ht="14.65" hidden="false" customHeight="false" outlineLevel="0" collapsed="false">
      <c r="A14" s="10" t="s">
        <v>74</v>
      </c>
      <c r="B14" s="2" t="n">
        <v>762</v>
      </c>
      <c r="C14" s="2" t="n">
        <v>7891</v>
      </c>
      <c r="D14" s="2" t="n">
        <v>8653</v>
      </c>
      <c r="E14" s="2" t="n">
        <v>346</v>
      </c>
      <c r="F14" s="2" t="n">
        <v>824</v>
      </c>
      <c r="G14" s="2" t="n">
        <v>1170</v>
      </c>
      <c r="H14" s="2" t="n">
        <v>41236</v>
      </c>
      <c r="I14" s="2" t="n">
        <v>75044</v>
      </c>
      <c r="J14" s="2" t="n">
        <v>116280</v>
      </c>
      <c r="K14" s="2" t="n">
        <v>2307</v>
      </c>
      <c r="L14" s="2" t="n">
        <v>17980</v>
      </c>
      <c r="M14" s="2" t="n">
        <v>20287</v>
      </c>
      <c r="N14" s="2" t="n">
        <v>41998</v>
      </c>
      <c r="O14" s="2" t="n">
        <v>82935</v>
      </c>
      <c r="P14" s="2" t="n">
        <v>124933</v>
      </c>
      <c r="Q14" s="2" t="n">
        <v>2653</v>
      </c>
      <c r="R14" s="2" t="n">
        <v>18804</v>
      </c>
      <c r="S14" s="2" t="n">
        <v>21457</v>
      </c>
      <c r="T14" s="2" t="n">
        <v>532</v>
      </c>
      <c r="U14" s="2" t="n">
        <f aca="false">+V14-T14</f>
        <v>54887</v>
      </c>
      <c r="V14" s="2" t="n">
        <v>55419</v>
      </c>
      <c r="W14" s="2" t="n">
        <v>79</v>
      </c>
      <c r="X14" s="2" t="n">
        <v>0</v>
      </c>
      <c r="Y14" s="2" t="n">
        <f aca="false">+Z14-W14-X14</f>
        <v>58756</v>
      </c>
      <c r="Z14" s="2" t="n">
        <v>58835</v>
      </c>
      <c r="AA14" s="2" t="n">
        <v>2</v>
      </c>
      <c r="AB14" s="2" t="n">
        <v>77</v>
      </c>
      <c r="AC14" s="2" t="n">
        <v>0</v>
      </c>
      <c r="AD14" s="2" t="n">
        <v>532</v>
      </c>
      <c r="AE14" s="6" t="n">
        <v>47.8</v>
      </c>
      <c r="AF14" s="6" t="n">
        <v>31.5</v>
      </c>
      <c r="AG14" s="6" t="n">
        <f aca="false">100-AE14-AF14</f>
        <v>20.7</v>
      </c>
      <c r="AH14" s="6" t="n">
        <v>61</v>
      </c>
      <c r="AI14" s="6" t="n">
        <v>31.3</v>
      </c>
      <c r="AJ14" s="6" t="n">
        <f aca="false">100-AH14-AI14</f>
        <v>7.7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2" t="n">
        <v>1667</v>
      </c>
      <c r="AR14" s="2" t="n">
        <v>5540</v>
      </c>
      <c r="AS14" s="2" t="n">
        <v>7207</v>
      </c>
      <c r="AT14" s="2" t="n">
        <v>741</v>
      </c>
      <c r="AU14" s="2" t="n">
        <v>0</v>
      </c>
      <c r="AV14" s="2" t="n">
        <v>2816</v>
      </c>
      <c r="AW14" s="2" t="n">
        <v>3557</v>
      </c>
      <c r="AX14" s="11" t="n">
        <v>111528</v>
      </c>
      <c r="AY14" s="11" t="n">
        <v>42830</v>
      </c>
      <c r="AZ14" s="11" t="n">
        <v>6609</v>
      </c>
      <c r="BA14" s="11" t="n">
        <v>160967</v>
      </c>
      <c r="BB14" s="12" t="n">
        <v>49296</v>
      </c>
      <c r="BC14" s="11" t="n">
        <v>84059</v>
      </c>
      <c r="BD14" s="11" t="n">
        <v>1212</v>
      </c>
      <c r="BE14" s="11" t="n">
        <v>134567</v>
      </c>
      <c r="BF14" s="12" t="n">
        <v>43930</v>
      </c>
      <c r="BG14" s="11" t="n">
        <v>14397</v>
      </c>
      <c r="BH14" s="11" t="n">
        <v>341</v>
      </c>
      <c r="BI14" s="11" t="n">
        <v>545</v>
      </c>
      <c r="BJ14" s="11" t="n">
        <v>354747</v>
      </c>
    </row>
    <row r="15" customFormat="false" ht="14.65" hidden="false" customHeight="false" outlineLevel="0" collapsed="false">
      <c r="A15" s="5" t="s">
        <v>75</v>
      </c>
      <c r="B15" s="2" t="n">
        <v>365359</v>
      </c>
      <c r="C15" s="2" t="n">
        <v>334974</v>
      </c>
      <c r="D15" s="2" t="n">
        <v>700333</v>
      </c>
      <c r="E15" s="2" t="n">
        <v>36813</v>
      </c>
      <c r="F15" s="2" t="n">
        <v>124266</v>
      </c>
      <c r="G15" s="2" t="n">
        <v>161079</v>
      </c>
      <c r="H15" s="2" t="n">
        <v>212843</v>
      </c>
      <c r="I15" s="2" t="n">
        <v>556580</v>
      </c>
      <c r="J15" s="2" t="n">
        <v>769423</v>
      </c>
      <c r="K15" s="2" t="n">
        <v>21476</v>
      </c>
      <c r="L15" s="2" t="n">
        <v>74427</v>
      </c>
      <c r="M15" s="2" t="n">
        <v>95903</v>
      </c>
      <c r="N15" s="2" t="n">
        <v>578202</v>
      </c>
      <c r="O15" s="2" t="n">
        <v>891554</v>
      </c>
      <c r="P15" s="2" t="n">
        <v>1469756</v>
      </c>
      <c r="Q15" s="2" t="n">
        <v>58289</v>
      </c>
      <c r="R15" s="2" t="n">
        <v>198693</v>
      </c>
      <c r="S15" s="2" t="n">
        <v>256982</v>
      </c>
      <c r="T15" s="2" t="n">
        <v>1421</v>
      </c>
      <c r="U15" s="2" t="n">
        <f aca="false">+V15-T15</f>
        <v>100363</v>
      </c>
      <c r="V15" s="2" t="n">
        <v>101784</v>
      </c>
      <c r="W15" s="2" t="n">
        <v>630</v>
      </c>
      <c r="X15" s="2" t="n">
        <v>80</v>
      </c>
      <c r="Y15" s="2" t="n">
        <f aca="false">+Z15-W15-X15</f>
        <v>136255</v>
      </c>
      <c r="Z15" s="2" t="n">
        <v>136965</v>
      </c>
      <c r="AA15" s="2" t="n">
        <v>311</v>
      </c>
      <c r="AB15" s="2" t="n">
        <v>319</v>
      </c>
      <c r="AC15" s="2" t="n">
        <v>28</v>
      </c>
      <c r="AD15" s="2" t="n">
        <v>1393</v>
      </c>
      <c r="AE15" s="6" t="n">
        <v>64.7</v>
      </c>
      <c r="AF15" s="6" t="n">
        <v>12.8</v>
      </c>
      <c r="AG15" s="6" t="n">
        <f aca="false">100-AE15-AF15</f>
        <v>22.5</v>
      </c>
      <c r="AH15" s="6" t="n">
        <v>78.1</v>
      </c>
      <c r="AI15" s="6" t="n">
        <v>14.9</v>
      </c>
      <c r="AJ15" s="6" t="n">
        <f aca="false">100-AH15-AI15</f>
        <v>7.00000000000001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1</v>
      </c>
      <c r="AP15" s="7" t="n">
        <v>0</v>
      </c>
      <c r="AQ15" s="2" t="n">
        <v>8428</v>
      </c>
      <c r="AR15" s="2" t="n">
        <v>19826</v>
      </c>
      <c r="AS15" s="2" t="n">
        <v>28254</v>
      </c>
      <c r="AT15" s="2" t="n">
        <v>14447</v>
      </c>
      <c r="AU15" s="2" t="n">
        <v>1047</v>
      </c>
      <c r="AV15" s="2" t="n">
        <v>43894</v>
      </c>
      <c r="AW15" s="2" t="n">
        <v>59388</v>
      </c>
      <c r="AX15" s="8" t="n">
        <v>1443338</v>
      </c>
      <c r="AY15" s="8" t="n">
        <v>507931</v>
      </c>
      <c r="AZ15" s="8" t="n">
        <v>56</v>
      </c>
      <c r="BA15" s="8" t="n">
        <v>1951325</v>
      </c>
      <c r="BB15" s="9" t="n">
        <v>291073</v>
      </c>
      <c r="BC15" s="8" t="n">
        <v>701587</v>
      </c>
      <c r="BD15" s="8" t="n">
        <v>490</v>
      </c>
      <c r="BE15" s="8" t="n">
        <v>993150</v>
      </c>
      <c r="BF15" s="9" t="n">
        <v>260011</v>
      </c>
      <c r="BG15" s="8" t="n">
        <v>126439</v>
      </c>
      <c r="BH15" s="8" t="n">
        <v>129070</v>
      </c>
      <c r="BI15" s="8" t="n">
        <v>115485</v>
      </c>
      <c r="BJ15" s="8" t="n">
        <v>3575480</v>
      </c>
    </row>
    <row r="16" customFormat="false" ht="14.65" hidden="false" customHeight="false" outlineLevel="0" collapsed="false">
      <c r="A16" s="5" t="s">
        <v>76</v>
      </c>
      <c r="B16" s="2" t="n">
        <v>92677</v>
      </c>
      <c r="C16" s="2" t="n">
        <v>234936</v>
      </c>
      <c r="D16" s="2" t="n">
        <v>327613</v>
      </c>
      <c r="E16" s="2" t="n">
        <v>8989</v>
      </c>
      <c r="F16" s="2" t="n">
        <v>26980</v>
      </c>
      <c r="G16" s="2" t="n">
        <v>35969</v>
      </c>
      <c r="H16" s="2" t="n">
        <v>130626</v>
      </c>
      <c r="I16" s="2" t="n">
        <v>177392</v>
      </c>
      <c r="J16" s="2" t="n">
        <v>308018</v>
      </c>
      <c r="K16" s="2" t="n">
        <v>38619</v>
      </c>
      <c r="L16" s="2" t="n">
        <v>114821</v>
      </c>
      <c r="M16" s="2" t="n">
        <v>153440</v>
      </c>
      <c r="N16" s="2" t="n">
        <v>223303</v>
      </c>
      <c r="O16" s="2" t="n">
        <v>412328</v>
      </c>
      <c r="P16" s="2" t="n">
        <v>635631</v>
      </c>
      <c r="Q16" s="2" t="n">
        <v>47608</v>
      </c>
      <c r="R16" s="2" t="n">
        <v>141801</v>
      </c>
      <c r="S16" s="2" t="n">
        <v>189409</v>
      </c>
      <c r="T16" s="2" t="n">
        <v>825</v>
      </c>
      <c r="U16" s="2" t="n">
        <f aca="false">+V16-T16</f>
        <v>72287</v>
      </c>
      <c r="V16" s="2" t="n">
        <v>73112</v>
      </c>
      <c r="W16" s="2" t="n">
        <v>313</v>
      </c>
      <c r="X16" s="2" t="n">
        <v>135</v>
      </c>
      <c r="Y16" s="2" t="n">
        <f aca="false">+Z16-W16-X16</f>
        <v>91926</v>
      </c>
      <c r="Z16" s="2" t="n">
        <v>92374</v>
      </c>
      <c r="AA16" s="2" t="n">
        <v>127</v>
      </c>
      <c r="AB16" s="2" t="n">
        <v>186</v>
      </c>
      <c r="AC16" s="2" t="n">
        <v>37</v>
      </c>
      <c r="AD16" s="2" t="n">
        <v>788</v>
      </c>
      <c r="AE16" s="6" t="n">
        <v>59.2</v>
      </c>
      <c r="AF16" s="6" t="n">
        <v>16.3</v>
      </c>
      <c r="AG16" s="6" t="n">
        <f aca="false">100-AE16-AF16</f>
        <v>24.5</v>
      </c>
      <c r="AH16" s="6" t="n">
        <v>68.7</v>
      </c>
      <c r="AI16" s="6" t="n">
        <v>16.8</v>
      </c>
      <c r="AJ16" s="6" t="n">
        <f aca="false">100-AH16-AI16</f>
        <v>14.5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1</v>
      </c>
      <c r="AP16" s="7" t="n">
        <v>0</v>
      </c>
      <c r="AQ16" s="2" t="n">
        <v>6646</v>
      </c>
      <c r="AR16" s="2" t="n">
        <v>22606</v>
      </c>
      <c r="AS16" s="2" t="n">
        <v>29252</v>
      </c>
      <c r="AT16" s="2" t="n">
        <v>5537</v>
      </c>
      <c r="AU16" s="2" t="n">
        <v>774</v>
      </c>
      <c r="AV16" s="2" t="n">
        <v>21509</v>
      </c>
      <c r="AW16" s="2" t="n">
        <v>27820</v>
      </c>
      <c r="AX16" s="8" t="n">
        <v>567006</v>
      </c>
      <c r="AY16" s="8" t="n">
        <v>218588</v>
      </c>
      <c r="AZ16" s="8" t="n">
        <v>0</v>
      </c>
      <c r="BA16" s="8" t="n">
        <v>785594</v>
      </c>
      <c r="BB16" s="9" t="n">
        <v>201342</v>
      </c>
      <c r="BC16" s="8" t="n">
        <v>214625</v>
      </c>
      <c r="BD16" s="8" t="n">
        <v>510</v>
      </c>
      <c r="BE16" s="8" t="n">
        <v>416477</v>
      </c>
      <c r="BF16" s="9" t="n">
        <v>195916</v>
      </c>
      <c r="BG16" s="8" t="n">
        <v>41838</v>
      </c>
      <c r="BH16" s="8" t="n">
        <v>52231</v>
      </c>
      <c r="BI16" s="8" t="n">
        <v>12687</v>
      </c>
      <c r="BJ16" s="8" t="n">
        <v>1504743</v>
      </c>
    </row>
    <row r="17" customFormat="false" ht="14.65" hidden="false" customHeight="false" outlineLevel="0" collapsed="false">
      <c r="A17" s="5" t="s">
        <v>77</v>
      </c>
      <c r="B17" s="2" t="n">
        <v>43819</v>
      </c>
      <c r="C17" s="2" t="n">
        <v>76501</v>
      </c>
      <c r="D17" s="2" t="n">
        <v>120320</v>
      </c>
      <c r="E17" s="2" t="n">
        <v>3325</v>
      </c>
      <c r="F17" s="2" t="n">
        <v>5805</v>
      </c>
      <c r="G17" s="2" t="n">
        <v>9130</v>
      </c>
      <c r="H17" s="2" t="n">
        <v>72276</v>
      </c>
      <c r="I17" s="2" t="n">
        <v>220044</v>
      </c>
      <c r="J17" s="2" t="n">
        <v>292320</v>
      </c>
      <c r="K17" s="2" t="n">
        <v>12509</v>
      </c>
      <c r="L17" s="2" t="n">
        <v>37006</v>
      </c>
      <c r="M17" s="2" t="n">
        <v>49515</v>
      </c>
      <c r="N17" s="2" t="n">
        <v>116095</v>
      </c>
      <c r="O17" s="2" t="n">
        <v>296545</v>
      </c>
      <c r="P17" s="2" t="n">
        <v>412640</v>
      </c>
      <c r="Q17" s="2" t="n">
        <v>15834</v>
      </c>
      <c r="R17" s="2" t="n">
        <v>42811</v>
      </c>
      <c r="S17" s="2" t="n">
        <v>58645</v>
      </c>
      <c r="T17" s="2" t="n">
        <v>636</v>
      </c>
      <c r="U17" s="2" t="n">
        <f aca="false">+V17-T17</f>
        <v>102854</v>
      </c>
      <c r="V17" s="2" t="n">
        <v>103490</v>
      </c>
      <c r="W17" s="2" t="n">
        <v>147</v>
      </c>
      <c r="X17" s="2" t="n">
        <v>0</v>
      </c>
      <c r="Y17" s="2" t="n">
        <f aca="false">+Z17-W17-X17</f>
        <v>112561</v>
      </c>
      <c r="Z17" s="2" t="n">
        <v>112708</v>
      </c>
      <c r="AA17" s="2" t="n">
        <v>45</v>
      </c>
      <c r="AB17" s="2" t="n">
        <v>102</v>
      </c>
      <c r="AC17" s="2" t="n">
        <v>30</v>
      </c>
      <c r="AD17" s="2" t="n">
        <v>606</v>
      </c>
      <c r="AE17" s="6" t="n">
        <v>68.5</v>
      </c>
      <c r="AF17" s="6" t="n">
        <v>3.3</v>
      </c>
      <c r="AG17" s="6" t="n">
        <f aca="false">100-AE17-AF17</f>
        <v>28.2</v>
      </c>
      <c r="AH17" s="6" t="n">
        <v>81.8</v>
      </c>
      <c r="AI17" s="6" t="n">
        <v>2.9</v>
      </c>
      <c r="AJ17" s="6" t="n">
        <f aca="false">100-AH17-AI17</f>
        <v>15.3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1</v>
      </c>
      <c r="AP17" s="7" t="n">
        <v>0</v>
      </c>
      <c r="AQ17" s="2" t="n">
        <v>3406</v>
      </c>
      <c r="AR17" s="2" t="n">
        <v>11958</v>
      </c>
      <c r="AS17" s="2" t="n">
        <v>15364</v>
      </c>
      <c r="AT17" s="2" t="n">
        <v>1554</v>
      </c>
      <c r="AU17" s="2" t="n">
        <v>0</v>
      </c>
      <c r="AV17" s="2" t="n">
        <v>7008</v>
      </c>
      <c r="AW17" s="2" t="n">
        <v>8562</v>
      </c>
      <c r="AX17" s="8" t="n">
        <v>400691</v>
      </c>
      <c r="AY17" s="8" t="n">
        <v>225814</v>
      </c>
      <c r="AZ17" s="8" t="n">
        <v>9</v>
      </c>
      <c r="BA17" s="8" t="n">
        <v>626514</v>
      </c>
      <c r="BB17" s="9" t="n">
        <v>100801</v>
      </c>
      <c r="BC17" s="8" t="n">
        <v>317012</v>
      </c>
      <c r="BD17" s="8" t="n">
        <v>25</v>
      </c>
      <c r="BE17" s="8" t="n">
        <v>417838</v>
      </c>
      <c r="BF17" s="9" t="n">
        <v>95273</v>
      </c>
      <c r="BG17" s="8" t="n">
        <v>66895</v>
      </c>
      <c r="BH17" s="8" t="n">
        <v>23439</v>
      </c>
      <c r="BI17" s="8" t="n">
        <v>53258</v>
      </c>
      <c r="BJ17" s="8" t="n">
        <v>1283217</v>
      </c>
    </row>
    <row r="18" customFormat="false" ht="14.65" hidden="false" customHeight="false" outlineLevel="0" collapsed="false">
      <c r="A18" s="10" t="s">
        <v>78</v>
      </c>
      <c r="B18" s="2" t="n">
        <v>42397</v>
      </c>
      <c r="C18" s="2" t="n">
        <v>72203</v>
      </c>
      <c r="D18" s="2" t="n">
        <v>114600</v>
      </c>
      <c r="E18" s="2" t="n">
        <v>14987</v>
      </c>
      <c r="F18" s="2" t="n">
        <v>16041</v>
      </c>
      <c r="G18" s="2" t="n">
        <v>31028</v>
      </c>
      <c r="H18" s="2" t="n">
        <v>34629</v>
      </c>
      <c r="I18" s="2" t="n">
        <v>284369</v>
      </c>
      <c r="J18" s="2" t="n">
        <v>318998</v>
      </c>
      <c r="K18" s="2" t="n">
        <v>17531</v>
      </c>
      <c r="L18" s="2" t="n">
        <v>41016</v>
      </c>
      <c r="M18" s="2" t="n">
        <v>58547</v>
      </c>
      <c r="N18" s="2" t="n">
        <v>77026</v>
      </c>
      <c r="O18" s="2" t="n">
        <v>356572</v>
      </c>
      <c r="P18" s="2" t="n">
        <v>433598</v>
      </c>
      <c r="Q18" s="2" t="n">
        <v>32518</v>
      </c>
      <c r="R18" s="2" t="n">
        <v>57057</v>
      </c>
      <c r="S18" s="2" t="n">
        <v>89575</v>
      </c>
      <c r="T18" s="2" t="n">
        <v>698</v>
      </c>
      <c r="U18" s="2" t="n">
        <f aca="false">+V18-T18</f>
        <v>122978</v>
      </c>
      <c r="V18" s="2" t="n">
        <v>123676</v>
      </c>
      <c r="W18" s="2" t="n">
        <v>173</v>
      </c>
      <c r="X18" s="2" t="n">
        <v>128</v>
      </c>
      <c r="Y18" s="2" t="n">
        <f aca="false">+Z18-W18-X18</f>
        <v>132955</v>
      </c>
      <c r="Z18" s="2" t="n">
        <v>133256</v>
      </c>
      <c r="AA18" s="2" t="n">
        <v>73</v>
      </c>
      <c r="AB18" s="2" t="n">
        <v>100</v>
      </c>
      <c r="AC18" s="2" t="n">
        <v>0</v>
      </c>
      <c r="AD18" s="2" t="n">
        <v>698</v>
      </c>
      <c r="AE18" s="6" t="n">
        <v>62.8</v>
      </c>
      <c r="AF18" s="6" t="n">
        <v>18</v>
      </c>
      <c r="AG18" s="6" t="n">
        <f aca="false">100-AE18-AF18</f>
        <v>19.2</v>
      </c>
      <c r="AH18" s="6" t="n">
        <v>69.1</v>
      </c>
      <c r="AI18" s="6" t="n">
        <v>25.5</v>
      </c>
      <c r="AJ18" s="6" t="n">
        <f aca="false">100-AH18-AI18</f>
        <v>5.40000000000001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</v>
      </c>
      <c r="AP18" s="7" t="n">
        <v>0</v>
      </c>
      <c r="AQ18" s="2" t="n">
        <v>2573</v>
      </c>
      <c r="AR18" s="2" t="n">
        <v>10317</v>
      </c>
      <c r="AS18" s="2" t="n">
        <v>12890</v>
      </c>
      <c r="AT18" s="2" t="n">
        <v>2233</v>
      </c>
      <c r="AU18" s="2" t="n">
        <v>905</v>
      </c>
      <c r="AV18" s="2" t="n">
        <v>8135</v>
      </c>
      <c r="AW18" s="2" t="n">
        <v>11273</v>
      </c>
      <c r="AX18" s="11" t="n">
        <v>352267</v>
      </c>
      <c r="AY18" s="11" t="n">
        <v>112971</v>
      </c>
      <c r="AZ18" s="11" t="n">
        <v>2</v>
      </c>
      <c r="BA18" s="11" t="n">
        <v>465240</v>
      </c>
      <c r="BB18" s="12" t="n">
        <v>81227</v>
      </c>
      <c r="BC18" s="11" t="n">
        <v>195447</v>
      </c>
      <c r="BD18" s="11" t="n">
        <v>490</v>
      </c>
      <c r="BE18" s="11" t="n">
        <v>277164</v>
      </c>
      <c r="BF18" s="12" t="n">
        <v>183109</v>
      </c>
      <c r="BG18" s="11" t="n">
        <v>275074</v>
      </c>
      <c r="BH18" s="11" t="n">
        <v>44942</v>
      </c>
      <c r="BI18" s="11" t="n">
        <v>142628</v>
      </c>
      <c r="BJ18" s="11" t="n">
        <v>1388157</v>
      </c>
    </row>
    <row r="19" customFormat="false" ht="14.65" hidden="false" customHeight="false" outlineLevel="0" collapsed="false">
      <c r="A19" s="5" t="s">
        <v>79</v>
      </c>
      <c r="B19" s="2" t="e">
        <f aca="false">#REF!</f>
        <v>#VALUE!</v>
      </c>
      <c r="C19" s="2" t="e">
        <f aca="false">#REF!</f>
        <v>#VALUE!</v>
      </c>
      <c r="D19" s="2" t="e">
        <f aca="false">#REF!</f>
        <v>#VALUE!</v>
      </c>
      <c r="E19" s="2" t="e">
        <f aca="false">#REF!</f>
        <v>#VALUE!</v>
      </c>
      <c r="F19" s="2" t="e">
        <f aca="false">#REF!</f>
        <v>#VALUE!</v>
      </c>
      <c r="G19" s="2" t="e">
        <f aca="false">#REF!</f>
        <v>#VALUE!</v>
      </c>
      <c r="H19" s="2" t="s">
        <v>80</v>
      </c>
      <c r="I19" s="2" t="e">
        <f aca="false">#REF!</f>
        <v>#VALUE!</v>
      </c>
      <c r="J19" s="2" t="s">
        <v>64</v>
      </c>
      <c r="K19" s="2" t="s">
        <v>64</v>
      </c>
      <c r="L19" s="2" t="e">
        <f aca="false">#REF!</f>
        <v>#VALUE!</v>
      </c>
      <c r="M19" s="2" t="s">
        <v>64</v>
      </c>
      <c r="N19" s="2" t="s">
        <v>80</v>
      </c>
      <c r="O19" s="2" t="e">
        <f aca="false">#REF!</f>
        <v>#VALUE!</v>
      </c>
      <c r="P19" s="2" t="s">
        <v>64</v>
      </c>
      <c r="Q19" s="2" t="s">
        <v>64</v>
      </c>
      <c r="R19" s="2" t="e">
        <f aca="false">#REF!</f>
        <v>#VALUE!</v>
      </c>
      <c r="S19" s="2" t="s">
        <v>64</v>
      </c>
      <c r="T19" s="2" t="n">
        <v>540</v>
      </c>
      <c r="U19" s="2" t="n">
        <f aca="false">+V19-T19</f>
        <v>61953</v>
      </c>
      <c r="V19" s="2" t="n">
        <v>62493</v>
      </c>
      <c r="W19" s="2" t="n">
        <v>221</v>
      </c>
      <c r="X19" s="2" t="n">
        <v>93</v>
      </c>
      <c r="Y19" s="2" t="n">
        <f aca="false">+Z19-W19-X19</f>
        <v>72318</v>
      </c>
      <c r="Z19" s="2" t="n">
        <v>72632</v>
      </c>
      <c r="AA19" s="2" t="n">
        <v>85</v>
      </c>
      <c r="AB19" s="2" t="n">
        <v>136</v>
      </c>
      <c r="AC19" s="2" t="n">
        <v>27</v>
      </c>
      <c r="AD19" s="2" t="n">
        <v>513</v>
      </c>
      <c r="AE19" s="6" t="n">
        <v>55.1</v>
      </c>
      <c r="AF19" s="6" t="n">
        <v>23.9</v>
      </c>
      <c r="AG19" s="6" t="n">
        <f aca="false">100-AE19-AF19</f>
        <v>21</v>
      </c>
      <c r="AH19" s="6" t="n">
        <v>68</v>
      </c>
      <c r="AI19" s="6" t="n">
        <v>25.4</v>
      </c>
      <c r="AJ19" s="6" t="n">
        <f aca="false">100-AH19-AI19</f>
        <v>6.6</v>
      </c>
      <c r="AK19" s="7" t="n">
        <v>0</v>
      </c>
      <c r="AL19" s="7" t="n">
        <v>0</v>
      </c>
      <c r="AM19" s="7" t="n">
        <v>0</v>
      </c>
      <c r="AN19" s="7" t="n">
        <v>1</v>
      </c>
      <c r="AO19" s="7" t="n">
        <v>0</v>
      </c>
      <c r="AP19" s="7" t="n">
        <v>0</v>
      </c>
      <c r="AQ19" s="2" t="n">
        <v>4737</v>
      </c>
      <c r="AR19" s="2" t="n">
        <v>16656</v>
      </c>
      <c r="AS19" s="2" t="n">
        <v>21393</v>
      </c>
      <c r="AT19" s="2" t="n">
        <v>4384</v>
      </c>
      <c r="AU19" s="2" t="n">
        <v>559</v>
      </c>
      <c r="AV19" s="2" t="n">
        <v>11726</v>
      </c>
      <c r="AW19" s="2" t="n">
        <v>16669</v>
      </c>
      <c r="AX19" s="8" t="n">
        <v>683377</v>
      </c>
      <c r="AY19" s="8" t="n">
        <v>157425</v>
      </c>
      <c r="AZ19" s="8" t="n">
        <v>2502</v>
      </c>
      <c r="BA19" s="8" t="n">
        <v>843304</v>
      </c>
      <c r="BB19" s="9" t="n">
        <v>152045</v>
      </c>
      <c r="BC19" s="8" t="n">
        <v>111117</v>
      </c>
      <c r="BD19" s="8" t="n">
        <v>41</v>
      </c>
      <c r="BE19" s="8" t="n">
        <v>263203</v>
      </c>
      <c r="BF19" s="9" t="n">
        <v>88047</v>
      </c>
      <c r="BG19" s="8" t="n">
        <v>109820</v>
      </c>
      <c r="BH19" s="8" t="n">
        <v>103564</v>
      </c>
      <c r="BI19" s="8" t="n">
        <v>143452</v>
      </c>
      <c r="BJ19" s="8" t="n">
        <v>1551390</v>
      </c>
    </row>
    <row r="20" customFormat="false" ht="14.65" hidden="false" customHeight="false" outlineLevel="0" collapsed="false">
      <c r="A20" s="5" t="s">
        <v>81</v>
      </c>
      <c r="B20" s="2" t="n">
        <v>94588</v>
      </c>
      <c r="C20" s="2" t="n">
        <v>238373</v>
      </c>
      <c r="D20" s="2" t="n">
        <v>332961</v>
      </c>
      <c r="E20" s="2" t="n">
        <v>2688</v>
      </c>
      <c r="F20" s="2" t="n">
        <v>7909</v>
      </c>
      <c r="G20" s="2" t="n">
        <v>10597</v>
      </c>
      <c r="H20" s="2" t="n">
        <v>56281</v>
      </c>
      <c r="I20" s="2" t="n">
        <v>209593</v>
      </c>
      <c r="J20" s="2" t="n">
        <v>265874</v>
      </c>
      <c r="K20" s="2" t="n">
        <v>1136</v>
      </c>
      <c r="L20" s="2" t="n">
        <v>59761</v>
      </c>
      <c r="M20" s="2" t="n">
        <v>60897</v>
      </c>
      <c r="N20" s="2" t="n">
        <v>150869</v>
      </c>
      <c r="O20" s="2" t="n">
        <v>447966</v>
      </c>
      <c r="P20" s="2" t="n">
        <v>598835</v>
      </c>
      <c r="Q20" s="2" t="n">
        <v>3824</v>
      </c>
      <c r="R20" s="2" t="n">
        <v>67670</v>
      </c>
      <c r="S20" s="2" t="n">
        <v>71494</v>
      </c>
      <c r="T20" s="2" t="n">
        <v>608</v>
      </c>
      <c r="U20" s="2" t="n">
        <f aca="false">+V20-T20</f>
        <v>45225</v>
      </c>
      <c r="V20" s="2" t="n">
        <v>45833</v>
      </c>
      <c r="W20" s="2" t="n">
        <v>263</v>
      </c>
      <c r="X20" s="2" t="n">
        <v>45</v>
      </c>
      <c r="Y20" s="2" t="n">
        <f aca="false">+Z20-W20-X20</f>
        <v>59291</v>
      </c>
      <c r="Z20" s="2" t="n">
        <v>59599</v>
      </c>
      <c r="AA20" s="2" t="n">
        <v>87</v>
      </c>
      <c r="AB20" s="2" t="n">
        <v>176</v>
      </c>
      <c r="AC20" s="2" t="n">
        <v>7</v>
      </c>
      <c r="AD20" s="2" t="n">
        <v>601</v>
      </c>
      <c r="AE20" s="6" t="n">
        <v>57</v>
      </c>
      <c r="AF20" s="6" t="n">
        <v>27.1</v>
      </c>
      <c r="AG20" s="6" t="n">
        <f aca="false">100-AE20-AF20</f>
        <v>15.9</v>
      </c>
      <c r="AH20" s="6" t="n">
        <v>63.8</v>
      </c>
      <c r="AI20" s="6" t="n">
        <v>25</v>
      </c>
      <c r="AJ20" s="6" t="n">
        <f aca="false">100-AH20-AI20</f>
        <v>11.2</v>
      </c>
      <c r="AK20" s="7" t="n">
        <v>0</v>
      </c>
      <c r="AL20" s="7" t="n">
        <v>0</v>
      </c>
      <c r="AM20" s="7" t="n">
        <v>0</v>
      </c>
      <c r="AN20" s="7" t="n">
        <v>1</v>
      </c>
      <c r="AO20" s="7" t="n">
        <v>0</v>
      </c>
      <c r="AP20" s="7" t="n">
        <v>0</v>
      </c>
      <c r="AQ20" s="2" t="n">
        <v>4197</v>
      </c>
      <c r="AR20" s="2" t="n">
        <v>12860</v>
      </c>
      <c r="AS20" s="2" t="n">
        <v>17057</v>
      </c>
      <c r="AT20" s="2" t="n">
        <v>3847</v>
      </c>
      <c r="AU20" s="2" t="n">
        <v>488</v>
      </c>
      <c r="AV20" s="2" t="n">
        <v>12463</v>
      </c>
      <c r="AW20" s="2" t="n">
        <v>16798</v>
      </c>
      <c r="AX20" s="8" t="n">
        <v>650766</v>
      </c>
      <c r="AY20" s="8" t="n">
        <v>154691</v>
      </c>
      <c r="AZ20" s="8" t="n">
        <v>104</v>
      </c>
      <c r="BA20" s="8" t="n">
        <v>805561</v>
      </c>
      <c r="BB20" s="9" t="n">
        <v>59191</v>
      </c>
      <c r="BC20" s="8" t="n">
        <v>194618</v>
      </c>
      <c r="BD20" s="8" t="n">
        <v>210</v>
      </c>
      <c r="BE20" s="8" t="n">
        <v>254019</v>
      </c>
      <c r="BF20" s="9" t="n">
        <v>85661</v>
      </c>
      <c r="BG20" s="8" t="n">
        <v>116970</v>
      </c>
      <c r="BH20" s="8" t="n">
        <v>107470</v>
      </c>
      <c r="BI20" s="8" t="n">
        <v>107504</v>
      </c>
      <c r="BJ20" s="8" t="n">
        <v>1477185</v>
      </c>
    </row>
    <row r="21" customFormat="false" ht="14.65" hidden="false" customHeight="false" outlineLevel="0" collapsed="false">
      <c r="A21" s="5" t="s">
        <v>82</v>
      </c>
      <c r="B21" s="2" t="n">
        <v>4420</v>
      </c>
      <c r="C21" s="2" t="n">
        <v>50380</v>
      </c>
      <c r="D21" s="2" t="n">
        <v>54800</v>
      </c>
      <c r="E21" s="2" t="n">
        <v>363</v>
      </c>
      <c r="F21" s="2" t="n">
        <v>7371</v>
      </c>
      <c r="G21" s="2" t="n">
        <v>7734</v>
      </c>
      <c r="H21" s="2" t="n">
        <v>22864</v>
      </c>
      <c r="I21" s="2" t="n">
        <v>60801</v>
      </c>
      <c r="J21" s="2" t="n">
        <v>83665</v>
      </c>
      <c r="K21" s="2" t="n">
        <v>18472</v>
      </c>
      <c r="L21" s="2" t="n">
        <v>50372</v>
      </c>
      <c r="M21" s="2" t="n">
        <v>68844</v>
      </c>
      <c r="N21" s="2" t="n">
        <v>27284</v>
      </c>
      <c r="O21" s="2" t="n">
        <v>111181</v>
      </c>
      <c r="P21" s="2" t="n">
        <v>138465</v>
      </c>
      <c r="Q21" s="2" t="n">
        <v>18835</v>
      </c>
      <c r="R21" s="2" t="n">
        <v>57743</v>
      </c>
      <c r="S21" s="2" t="n">
        <v>76578</v>
      </c>
      <c r="T21" s="2" t="n">
        <v>312</v>
      </c>
      <c r="U21" s="2" t="n">
        <f aca="false">+V21-T21</f>
        <v>19615</v>
      </c>
      <c r="V21" s="2" t="n">
        <v>19927</v>
      </c>
      <c r="W21" s="2" t="n">
        <v>54</v>
      </c>
      <c r="X21" s="2" t="n">
        <v>17</v>
      </c>
      <c r="Y21" s="2" t="n">
        <f aca="false">+Z21-W21-X21</f>
        <v>22439</v>
      </c>
      <c r="Z21" s="2" t="n">
        <v>22510</v>
      </c>
      <c r="AA21" s="2" t="n">
        <v>1</v>
      </c>
      <c r="AB21" s="2" t="n">
        <v>53</v>
      </c>
      <c r="AC21" s="2" t="n">
        <v>13</v>
      </c>
      <c r="AD21" s="2" t="n">
        <v>299</v>
      </c>
      <c r="AE21" s="6" t="n">
        <v>62.5</v>
      </c>
      <c r="AF21" s="6" t="n">
        <v>26.1</v>
      </c>
      <c r="AG21" s="6" t="n">
        <f aca="false">100-AE21-AF21</f>
        <v>11.4</v>
      </c>
      <c r="AH21" s="6" t="n">
        <v>74.7</v>
      </c>
      <c r="AI21" s="6" t="n">
        <v>22</v>
      </c>
      <c r="AJ21" s="6" t="n">
        <f aca="false">100-AH21-AI21</f>
        <v>3.3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1</v>
      </c>
      <c r="AQ21" s="2" t="n">
        <v>1725</v>
      </c>
      <c r="AR21" s="2" t="n">
        <v>7239</v>
      </c>
      <c r="AS21" s="2" t="n">
        <v>8964</v>
      </c>
      <c r="AT21" s="2" t="n">
        <v>480</v>
      </c>
      <c r="AU21" s="2" t="n">
        <v>95</v>
      </c>
      <c r="AV21" s="2" t="n">
        <v>2612</v>
      </c>
      <c r="AW21" s="2" t="n">
        <v>3187</v>
      </c>
      <c r="AX21" s="8" t="n">
        <v>143850</v>
      </c>
      <c r="AY21" s="8" t="n">
        <v>15420</v>
      </c>
      <c r="AZ21" s="8" t="n">
        <v>446</v>
      </c>
      <c r="BA21" s="8" t="n">
        <v>159716</v>
      </c>
      <c r="BB21" s="9" t="n">
        <v>114900</v>
      </c>
      <c r="BC21" s="8" t="n">
        <v>98260</v>
      </c>
      <c r="BD21" s="8" t="n">
        <v>153</v>
      </c>
      <c r="BE21" s="8" t="n">
        <v>213313</v>
      </c>
      <c r="BF21" s="9" t="n">
        <v>17086</v>
      </c>
      <c r="BG21" s="8" t="n">
        <v>42300</v>
      </c>
      <c r="BH21" s="8" t="n">
        <v>12015</v>
      </c>
      <c r="BI21" s="8" t="n">
        <v>15933</v>
      </c>
      <c r="BJ21" s="8" t="n">
        <v>460363</v>
      </c>
    </row>
    <row r="22" customFormat="false" ht="14.65" hidden="false" customHeight="false" outlineLevel="0" collapsed="false">
      <c r="A22" s="10" t="s">
        <v>83</v>
      </c>
      <c r="B22" s="2" t="n">
        <v>79085</v>
      </c>
      <c r="C22" s="2" t="n">
        <v>154176</v>
      </c>
      <c r="D22" s="2" t="n">
        <v>233261</v>
      </c>
      <c r="E22" s="2" t="n">
        <v>6980</v>
      </c>
      <c r="F22" s="2" t="n">
        <v>84597</v>
      </c>
      <c r="G22" s="2" t="n">
        <v>91577</v>
      </c>
      <c r="H22" s="2" t="n">
        <v>113671</v>
      </c>
      <c r="I22" s="2" t="n">
        <v>124701</v>
      </c>
      <c r="J22" s="2" t="n">
        <v>238372</v>
      </c>
      <c r="K22" s="2" t="n">
        <v>6588</v>
      </c>
      <c r="L22" s="2" t="n">
        <v>2582</v>
      </c>
      <c r="M22" s="2" t="n">
        <v>9170</v>
      </c>
      <c r="N22" s="2" t="n">
        <v>192756</v>
      </c>
      <c r="O22" s="2" t="n">
        <v>278877</v>
      </c>
      <c r="P22" s="2" t="n">
        <v>471633</v>
      </c>
      <c r="Q22" s="2" t="n">
        <v>13568</v>
      </c>
      <c r="R22" s="2" t="n">
        <v>87179</v>
      </c>
      <c r="S22" s="2" t="n">
        <v>100747</v>
      </c>
      <c r="T22" s="2" t="n">
        <v>227</v>
      </c>
      <c r="U22" s="2" t="n">
        <f aca="false">+V22-T22</f>
        <v>15415</v>
      </c>
      <c r="V22" s="2" t="n">
        <v>15642</v>
      </c>
      <c r="W22" s="2" t="n">
        <v>255</v>
      </c>
      <c r="X22" s="2" t="n">
        <v>224</v>
      </c>
      <c r="Y22" s="2" t="n">
        <f aca="false">+Z22-W22-X22</f>
        <v>28834</v>
      </c>
      <c r="Z22" s="2" t="n">
        <v>29313</v>
      </c>
      <c r="AA22" s="2" t="n">
        <v>187</v>
      </c>
      <c r="AB22" s="2" t="n">
        <v>68</v>
      </c>
      <c r="AC22" s="2" t="n">
        <v>123</v>
      </c>
      <c r="AD22" s="2" t="n">
        <v>104</v>
      </c>
      <c r="AE22" s="6" t="n">
        <v>63.7</v>
      </c>
      <c r="AF22" s="6" t="n">
        <v>17.2</v>
      </c>
      <c r="AG22" s="6" t="n">
        <f aca="false">100-AE22-AF22</f>
        <v>19.1</v>
      </c>
      <c r="AH22" s="6" t="n">
        <v>65.3</v>
      </c>
      <c r="AI22" s="6" t="n">
        <v>33.5</v>
      </c>
      <c r="AJ22" s="6" t="n">
        <f aca="false">100-AH22-AI22</f>
        <v>1.2</v>
      </c>
      <c r="AK22" s="7" t="n">
        <v>0</v>
      </c>
      <c r="AL22" s="7" t="n">
        <v>0</v>
      </c>
      <c r="AM22" s="7" t="n">
        <v>0</v>
      </c>
      <c r="AN22" s="7" t="n">
        <v>1</v>
      </c>
      <c r="AO22" s="7" t="n">
        <v>0</v>
      </c>
      <c r="AP22" s="7" t="n">
        <v>0</v>
      </c>
      <c r="AQ22" s="2" t="n">
        <v>2913</v>
      </c>
      <c r="AR22" s="2" t="n">
        <v>9889</v>
      </c>
      <c r="AS22" s="2" t="n">
        <v>12802</v>
      </c>
      <c r="AT22" s="2" t="n">
        <v>9086</v>
      </c>
      <c r="AU22" s="2" t="n">
        <v>3406</v>
      </c>
      <c r="AV22" s="2" t="n">
        <v>16602</v>
      </c>
      <c r="AW22" s="2" t="n">
        <v>29094</v>
      </c>
      <c r="AX22" s="11" t="n">
        <v>511583</v>
      </c>
      <c r="AY22" s="11" t="n">
        <v>232055</v>
      </c>
      <c r="AZ22" s="11" t="n">
        <v>14907</v>
      </c>
      <c r="BA22" s="11" t="n">
        <v>758545</v>
      </c>
      <c r="BB22" s="12" t="n">
        <v>149131</v>
      </c>
      <c r="BC22" s="11" t="n">
        <v>200106</v>
      </c>
      <c r="BD22" s="11" t="n">
        <v>0</v>
      </c>
      <c r="BE22" s="11" t="n">
        <v>349237</v>
      </c>
      <c r="BF22" s="12" t="n">
        <v>108364</v>
      </c>
      <c r="BG22" s="11" t="n">
        <v>161614</v>
      </c>
      <c r="BH22" s="11" t="n">
        <v>81688</v>
      </c>
      <c r="BI22" s="11" t="n">
        <v>330508</v>
      </c>
      <c r="BJ22" s="11" t="n">
        <v>1789956</v>
      </c>
    </row>
    <row r="23" customFormat="false" ht="14.65" hidden="false" customHeight="false" outlineLevel="0" collapsed="false">
      <c r="A23" s="5" t="s">
        <v>84</v>
      </c>
      <c r="B23" s="2" t="e">
        <f aca="false">#REF!</f>
        <v>#VALUE!</v>
      </c>
      <c r="C23" s="2" t="e">
        <f aca="false">#REF!</f>
        <v>#VALUE!</v>
      </c>
      <c r="D23" s="2" t="e">
        <f aca="false">#REF!</f>
        <v>#VALUE!</v>
      </c>
      <c r="E23" s="2" t="e">
        <f aca="false">#REF!</f>
        <v>#VALUE!</v>
      </c>
      <c r="F23" s="2" t="e">
        <f aca="false">#REF!</f>
        <v>#VALUE!</v>
      </c>
      <c r="G23" s="2" t="e">
        <f aca="false">#REF!</f>
        <v>#VALUE!</v>
      </c>
      <c r="H23" s="2" t="s">
        <v>64</v>
      </c>
      <c r="I23" s="2" t="e">
        <f aca="false">#REF!</f>
        <v>#VALUE!</v>
      </c>
      <c r="J23" s="2" t="s">
        <v>64</v>
      </c>
      <c r="K23" s="2" t="s">
        <v>64</v>
      </c>
      <c r="L23" s="2" t="e">
        <f aca="false">#REF!</f>
        <v>#VALUE!</v>
      </c>
      <c r="M23" s="2" t="s">
        <v>64</v>
      </c>
      <c r="N23" s="2" t="s">
        <v>64</v>
      </c>
      <c r="O23" s="2" t="e">
        <f aca="false">#REF!</f>
        <v>#VALUE!</v>
      </c>
      <c r="P23" s="2" t="s">
        <v>64</v>
      </c>
      <c r="Q23" s="2" t="s">
        <v>64</v>
      </c>
      <c r="R23" s="2" t="e">
        <f aca="false">#REF!</f>
        <v>#VALUE!</v>
      </c>
      <c r="S23" s="2" t="s">
        <v>64</v>
      </c>
      <c r="T23" s="2" t="n">
        <v>162</v>
      </c>
      <c r="U23" s="2" t="n">
        <f aca="false">+V23-T23</f>
        <v>10765</v>
      </c>
      <c r="V23" s="2" t="n">
        <v>10927</v>
      </c>
      <c r="W23" s="2" t="n">
        <v>403</v>
      </c>
      <c r="X23" s="2" t="n">
        <v>199</v>
      </c>
      <c r="Y23" s="2" t="n">
        <f aca="false">+Z23-W23-X23</f>
        <v>29961</v>
      </c>
      <c r="Z23" s="2" t="n">
        <v>30563</v>
      </c>
      <c r="AA23" s="2" t="n">
        <v>323</v>
      </c>
      <c r="AB23" s="2" t="n">
        <v>80</v>
      </c>
      <c r="AC23" s="2" t="n">
        <v>59</v>
      </c>
      <c r="AD23" s="2" t="n">
        <v>103</v>
      </c>
      <c r="AE23" s="6" t="n">
        <v>74.8</v>
      </c>
      <c r="AF23" s="6" t="n">
        <v>15.5</v>
      </c>
      <c r="AG23" s="6" t="n">
        <f aca="false">100-AE23-AF23</f>
        <v>9.7</v>
      </c>
      <c r="AH23" s="6" t="n">
        <v>85.4</v>
      </c>
      <c r="AI23" s="6" t="n">
        <v>11</v>
      </c>
      <c r="AJ23" s="6" t="n">
        <f aca="false">100-AH23-AI23</f>
        <v>3.59999999999999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1</v>
      </c>
      <c r="AQ23" s="2" t="n">
        <v>2176</v>
      </c>
      <c r="AR23" s="2" t="n">
        <v>6615</v>
      </c>
      <c r="AS23" s="2" t="n">
        <v>8791</v>
      </c>
      <c r="AT23" s="2" t="n">
        <v>10733</v>
      </c>
      <c r="AU23" s="2" t="n">
        <v>4490</v>
      </c>
      <c r="AV23" s="2" t="n">
        <v>23334</v>
      </c>
      <c r="AW23" s="2" t="n">
        <v>38557</v>
      </c>
      <c r="AX23" s="8" t="n">
        <v>871763</v>
      </c>
      <c r="AY23" s="8" t="n">
        <v>141997</v>
      </c>
      <c r="AZ23" s="8" t="n">
        <v>40</v>
      </c>
      <c r="BA23" s="8" t="n">
        <v>1013800</v>
      </c>
      <c r="BB23" s="9" t="n">
        <v>146150</v>
      </c>
      <c r="BC23" s="8" t="n">
        <v>244043</v>
      </c>
      <c r="BD23" s="8" t="n">
        <v>0</v>
      </c>
      <c r="BE23" s="8" t="n">
        <v>390193</v>
      </c>
      <c r="BF23" s="9" t="n">
        <v>214814</v>
      </c>
      <c r="BG23" s="8" t="n">
        <v>177051</v>
      </c>
      <c r="BH23" s="8" t="n">
        <v>174108</v>
      </c>
      <c r="BI23" s="8" t="n">
        <v>245634</v>
      </c>
      <c r="BJ23" s="8" t="n">
        <v>2215600</v>
      </c>
    </row>
    <row r="24" customFormat="false" ht="14.65" hidden="false" customHeight="false" outlineLevel="0" collapsed="false">
      <c r="A24" s="5" t="s">
        <v>85</v>
      </c>
      <c r="B24" s="2" t="n">
        <v>261891</v>
      </c>
      <c r="C24" s="2" t="n">
        <v>64799</v>
      </c>
      <c r="D24" s="2" t="n">
        <v>326690</v>
      </c>
      <c r="E24" s="2" t="n">
        <v>44295</v>
      </c>
      <c r="F24" s="2" t="n">
        <v>9639</v>
      </c>
      <c r="G24" s="2" t="n">
        <v>53934</v>
      </c>
      <c r="H24" s="2" t="n">
        <v>71861</v>
      </c>
      <c r="I24" s="2" t="n">
        <v>162943</v>
      </c>
      <c r="J24" s="2" t="n">
        <v>234804</v>
      </c>
      <c r="K24" s="2" t="n">
        <v>13758</v>
      </c>
      <c r="L24" s="2" t="n">
        <v>26571</v>
      </c>
      <c r="M24" s="2" t="n">
        <v>40329</v>
      </c>
      <c r="N24" s="2" t="n">
        <v>333752</v>
      </c>
      <c r="O24" s="2" t="n">
        <v>227742</v>
      </c>
      <c r="P24" s="2" t="n">
        <v>561494</v>
      </c>
      <c r="Q24" s="2" t="n">
        <v>58053</v>
      </c>
      <c r="R24" s="2" t="n">
        <v>36210</v>
      </c>
      <c r="S24" s="2" t="n">
        <v>94263</v>
      </c>
      <c r="T24" s="2" t="n">
        <v>741</v>
      </c>
      <c r="U24" s="2" t="n">
        <f aca="false">+V24-T24</f>
        <v>88744</v>
      </c>
      <c r="V24" s="2" t="n">
        <v>89485</v>
      </c>
      <c r="W24" s="2" t="n">
        <v>499</v>
      </c>
      <c r="X24" s="2" t="n">
        <v>221</v>
      </c>
      <c r="Y24" s="2" t="n">
        <f aca="false">+Z24-W24-X24</f>
        <v>116939</v>
      </c>
      <c r="Z24" s="2" t="n">
        <v>117659</v>
      </c>
      <c r="AA24" s="2" t="n">
        <v>301</v>
      </c>
      <c r="AB24" s="2" t="n">
        <v>198</v>
      </c>
      <c r="AC24" s="2" t="n">
        <v>92</v>
      </c>
      <c r="AD24" s="2" t="n">
        <v>649</v>
      </c>
      <c r="AE24" s="6" t="n">
        <v>72.2</v>
      </c>
      <c r="AF24" s="6" t="n">
        <v>18.6</v>
      </c>
      <c r="AG24" s="6" t="n">
        <f aca="false">100-AE24-AF24</f>
        <v>9.2</v>
      </c>
      <c r="AH24" s="6" t="n">
        <v>72.7</v>
      </c>
      <c r="AI24" s="6" t="n">
        <v>19.5</v>
      </c>
      <c r="AJ24" s="6" t="n">
        <f aca="false">100-AH24-AI24</f>
        <v>7.8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1</v>
      </c>
      <c r="AP24" s="7" t="n">
        <v>0</v>
      </c>
      <c r="AQ24" s="2" t="n">
        <v>5614</v>
      </c>
      <c r="AR24" s="2" t="n">
        <v>25620</v>
      </c>
      <c r="AS24" s="2" t="n">
        <v>31234</v>
      </c>
      <c r="AT24" s="2" t="n">
        <v>12601</v>
      </c>
      <c r="AU24" s="2" t="n">
        <v>3965</v>
      </c>
      <c r="AV24" s="2" t="n">
        <v>36419</v>
      </c>
      <c r="AW24" s="2" t="n">
        <v>52985</v>
      </c>
      <c r="AX24" s="8" t="n">
        <v>546839</v>
      </c>
      <c r="AY24" s="8" t="n">
        <v>276700</v>
      </c>
      <c r="AZ24" s="8" t="n">
        <v>31</v>
      </c>
      <c r="BA24" s="8" t="n">
        <v>823570</v>
      </c>
      <c r="BB24" s="9" t="n">
        <v>138763</v>
      </c>
      <c r="BC24" s="8" t="n">
        <v>642977</v>
      </c>
      <c r="BD24" s="8" t="n">
        <v>300</v>
      </c>
      <c r="BE24" s="8" t="n">
        <v>782040</v>
      </c>
      <c r="BF24" s="9" t="n">
        <v>205891</v>
      </c>
      <c r="BG24" s="8" t="n">
        <v>201637</v>
      </c>
      <c r="BH24" s="8" t="n">
        <v>35674</v>
      </c>
      <c r="BI24" s="8" t="n">
        <v>44873</v>
      </c>
      <c r="BJ24" s="8" t="n">
        <v>2093685</v>
      </c>
    </row>
    <row r="25" customFormat="false" ht="14.65" hidden="false" customHeight="false" outlineLevel="0" collapsed="false">
      <c r="A25" s="5" t="s">
        <v>86</v>
      </c>
      <c r="B25" s="2" t="n">
        <v>75321</v>
      </c>
      <c r="C25" s="2" t="n">
        <v>372047</v>
      </c>
      <c r="D25" s="2" t="n">
        <v>447368</v>
      </c>
      <c r="E25" s="2" t="n">
        <v>6115</v>
      </c>
      <c r="F25" s="2" t="n">
        <v>34480</v>
      </c>
      <c r="G25" s="2" t="n">
        <v>40595</v>
      </c>
      <c r="H25" s="2" t="n">
        <v>14920</v>
      </c>
      <c r="I25" s="2" t="n">
        <v>145839</v>
      </c>
      <c r="J25" s="2" t="n">
        <v>160759</v>
      </c>
      <c r="K25" s="2" t="n">
        <v>5342</v>
      </c>
      <c r="L25" s="2" t="n">
        <v>51908</v>
      </c>
      <c r="M25" s="2" t="n">
        <v>57250</v>
      </c>
      <c r="N25" s="2" t="n">
        <v>90241</v>
      </c>
      <c r="O25" s="2" t="n">
        <v>517886</v>
      </c>
      <c r="P25" s="2" t="n">
        <v>608127</v>
      </c>
      <c r="Q25" s="2" t="n">
        <v>11457</v>
      </c>
      <c r="R25" s="2" t="n">
        <v>86388</v>
      </c>
      <c r="S25" s="2" t="n">
        <v>97845</v>
      </c>
      <c r="T25" s="2" t="n">
        <v>681</v>
      </c>
      <c r="U25" s="2" t="n">
        <f aca="false">+V25-T25</f>
        <v>114392</v>
      </c>
      <c r="V25" s="2" t="n">
        <v>115073</v>
      </c>
      <c r="W25" s="2" t="n">
        <v>233</v>
      </c>
      <c r="X25" s="2" t="n">
        <v>130</v>
      </c>
      <c r="Y25" s="2" t="n">
        <f aca="false">+Z25-W25-X25</f>
        <v>129596</v>
      </c>
      <c r="Z25" s="2" t="n">
        <v>129959</v>
      </c>
      <c r="AA25" s="2" t="n">
        <v>106</v>
      </c>
      <c r="AB25" s="2" t="n">
        <v>127</v>
      </c>
      <c r="AC25" s="2" t="n">
        <v>20</v>
      </c>
      <c r="AD25" s="2" t="n">
        <v>661</v>
      </c>
      <c r="AE25" s="6" t="n">
        <v>86.4</v>
      </c>
      <c r="AF25" s="6" t="n">
        <v>2.7</v>
      </c>
      <c r="AG25" s="6" t="n">
        <f aca="false">100-AE25-AF25</f>
        <v>10.9</v>
      </c>
      <c r="AH25" s="6" t="n">
        <v>93.1</v>
      </c>
      <c r="AI25" s="6" t="n">
        <v>2.5</v>
      </c>
      <c r="AJ25" s="6" t="n">
        <f aca="false">100-AH25-AI25</f>
        <v>4.40000000000001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1</v>
      </c>
      <c r="AP25" s="7" t="n">
        <v>0</v>
      </c>
      <c r="AQ25" s="2" t="n">
        <v>3201</v>
      </c>
      <c r="AR25" s="2" t="n">
        <v>16769</v>
      </c>
      <c r="AS25" s="2" t="n">
        <v>19970</v>
      </c>
      <c r="AT25" s="2" t="n">
        <v>5320</v>
      </c>
      <c r="AU25" s="2" t="n">
        <v>2216</v>
      </c>
      <c r="AV25" s="2" t="n">
        <v>13656</v>
      </c>
      <c r="AW25" s="2" t="n">
        <v>21192</v>
      </c>
      <c r="AX25" s="8" t="n">
        <v>587390</v>
      </c>
      <c r="AY25" s="8" t="n">
        <v>689936</v>
      </c>
      <c r="AZ25" s="8" t="n">
        <v>163</v>
      </c>
      <c r="BA25" s="8" t="n">
        <v>1277489</v>
      </c>
      <c r="BB25" s="9" t="n">
        <v>144894</v>
      </c>
      <c r="BC25" s="8" t="n">
        <v>395181</v>
      </c>
      <c r="BD25" s="8" t="n">
        <v>1508</v>
      </c>
      <c r="BE25" s="8" t="n">
        <v>541583</v>
      </c>
      <c r="BF25" s="9" t="n">
        <v>146484</v>
      </c>
      <c r="BG25" s="8" t="n">
        <v>180927</v>
      </c>
      <c r="BH25" s="8" t="n">
        <v>56605</v>
      </c>
      <c r="BI25" s="8" t="n">
        <v>127591</v>
      </c>
      <c r="BJ25" s="8" t="n">
        <v>2330679</v>
      </c>
    </row>
    <row r="26" customFormat="false" ht="14.65" hidden="false" customHeight="false" outlineLevel="0" collapsed="false">
      <c r="A26" s="10" t="s">
        <v>87</v>
      </c>
      <c r="B26" s="2" t="n">
        <v>29423</v>
      </c>
      <c r="C26" s="2" t="n">
        <v>91401</v>
      </c>
      <c r="D26" s="2" t="n">
        <v>120824</v>
      </c>
      <c r="E26" s="2" t="n">
        <v>770</v>
      </c>
      <c r="F26" s="2" t="n">
        <v>2241</v>
      </c>
      <c r="G26" s="2" t="n">
        <v>3011</v>
      </c>
      <c r="H26" s="2" t="n">
        <v>33549</v>
      </c>
      <c r="I26" s="2" t="n">
        <v>279203</v>
      </c>
      <c r="J26" s="2" t="n">
        <v>312752</v>
      </c>
      <c r="K26" s="2" t="n">
        <v>3231</v>
      </c>
      <c r="L26" s="2" t="n">
        <v>31588</v>
      </c>
      <c r="M26" s="2" t="n">
        <v>34819</v>
      </c>
      <c r="N26" s="2" t="n">
        <v>62972</v>
      </c>
      <c r="O26" s="2" t="n">
        <v>370604</v>
      </c>
      <c r="P26" s="2" t="n">
        <v>433576</v>
      </c>
      <c r="Q26" s="2" t="n">
        <v>4001</v>
      </c>
      <c r="R26" s="2" t="n">
        <v>33829</v>
      </c>
      <c r="S26" s="2" t="n">
        <v>37830</v>
      </c>
      <c r="T26" s="2" t="n">
        <v>558</v>
      </c>
      <c r="U26" s="2" t="n">
        <f aca="false">+V26-T26</f>
        <v>64372</v>
      </c>
      <c r="V26" s="2" t="n">
        <v>64930</v>
      </c>
      <c r="W26" s="2" t="n">
        <v>127</v>
      </c>
      <c r="X26" s="2" t="n">
        <v>40</v>
      </c>
      <c r="Y26" s="2" t="n">
        <f aca="false">+Z26-W26-X26</f>
        <v>72667</v>
      </c>
      <c r="Z26" s="2" t="n">
        <v>72834</v>
      </c>
      <c r="AA26" s="2" t="n">
        <v>0</v>
      </c>
      <c r="AB26" s="2" t="n">
        <v>127</v>
      </c>
      <c r="AC26" s="2" t="n">
        <v>0</v>
      </c>
      <c r="AD26" s="2" t="n">
        <v>558</v>
      </c>
      <c r="AE26" s="6" t="n">
        <v>63.9</v>
      </c>
      <c r="AF26" s="6" t="n">
        <v>17.2</v>
      </c>
      <c r="AG26" s="6" t="n">
        <f aca="false">100-AE26-AF26</f>
        <v>18.9</v>
      </c>
      <c r="AH26" s="6" t="n">
        <v>68.1</v>
      </c>
      <c r="AI26" s="6" t="n">
        <v>16.3</v>
      </c>
      <c r="AJ26" s="6" t="n">
        <f aca="false">100-AH26-AI26</f>
        <v>15.6</v>
      </c>
      <c r="AK26" s="7" t="n">
        <v>0</v>
      </c>
      <c r="AL26" s="7" t="n">
        <v>0</v>
      </c>
      <c r="AM26" s="7" t="n">
        <v>0</v>
      </c>
      <c r="AN26" s="7" t="n">
        <v>1</v>
      </c>
      <c r="AO26" s="7" t="n">
        <v>0</v>
      </c>
      <c r="AP26" s="7" t="n">
        <v>0</v>
      </c>
      <c r="AQ26" s="2" t="n">
        <v>2951</v>
      </c>
      <c r="AR26" s="2" t="n">
        <v>14570</v>
      </c>
      <c r="AS26" s="2" t="n">
        <v>17521</v>
      </c>
      <c r="AT26" s="2" t="n">
        <v>1383</v>
      </c>
      <c r="AU26" s="2" t="n">
        <v>185</v>
      </c>
      <c r="AV26" s="2" t="n">
        <v>7150</v>
      </c>
      <c r="AW26" s="2" t="n">
        <v>8718</v>
      </c>
      <c r="AX26" s="11" t="n">
        <v>332638</v>
      </c>
      <c r="AY26" s="11" t="n">
        <v>119737</v>
      </c>
      <c r="AZ26" s="11" t="n">
        <v>3341</v>
      </c>
      <c r="BA26" s="11" t="n">
        <v>455716</v>
      </c>
      <c r="BB26" s="12" t="n">
        <v>54704</v>
      </c>
      <c r="BC26" s="11" t="n">
        <v>188186</v>
      </c>
      <c r="BD26" s="11" t="n">
        <v>591</v>
      </c>
      <c r="BE26" s="11" t="n">
        <v>243481</v>
      </c>
      <c r="BF26" s="12" t="n">
        <v>33114</v>
      </c>
      <c r="BG26" s="11" t="n">
        <v>64869</v>
      </c>
      <c r="BH26" s="11" t="n">
        <v>31566</v>
      </c>
      <c r="BI26" s="11" t="n">
        <v>57622</v>
      </c>
      <c r="BJ26" s="11" t="n">
        <v>886368</v>
      </c>
    </row>
    <row r="27" customFormat="false" ht="14.65" hidden="false" customHeight="false" outlineLevel="0" collapsed="false">
      <c r="A27" s="5" t="s">
        <v>88</v>
      </c>
      <c r="B27" s="2" t="n">
        <v>77983</v>
      </c>
      <c r="C27" s="2" t="n">
        <v>107018</v>
      </c>
      <c r="D27" s="2" t="n">
        <v>185001</v>
      </c>
      <c r="E27" s="2" t="n">
        <v>22339</v>
      </c>
      <c r="F27" s="2" t="n">
        <v>13394</v>
      </c>
      <c r="G27" s="2" t="n">
        <v>35733</v>
      </c>
      <c r="H27" s="2" t="n">
        <v>60904</v>
      </c>
      <c r="I27" s="2" t="n">
        <v>254227</v>
      </c>
      <c r="J27" s="2" t="n">
        <v>315131</v>
      </c>
      <c r="K27" s="2" t="n">
        <v>16829</v>
      </c>
      <c r="L27" s="2" t="n">
        <v>103110</v>
      </c>
      <c r="M27" s="2" t="n">
        <v>119939</v>
      </c>
      <c r="N27" s="2" t="n">
        <v>138887</v>
      </c>
      <c r="O27" s="2" t="n">
        <v>361245</v>
      </c>
      <c r="P27" s="2" t="n">
        <v>500132</v>
      </c>
      <c r="Q27" s="2" t="n">
        <v>39168</v>
      </c>
      <c r="R27" s="2" t="n">
        <v>116504</v>
      </c>
      <c r="S27" s="2" t="n">
        <v>155672</v>
      </c>
      <c r="T27" s="2" t="n">
        <v>812</v>
      </c>
      <c r="U27" s="2" t="n">
        <f aca="false">+V27-T27</f>
        <v>104825</v>
      </c>
      <c r="V27" s="2" t="n">
        <v>105637</v>
      </c>
      <c r="W27" s="2" t="n">
        <v>366</v>
      </c>
      <c r="X27" s="2" t="n">
        <v>276</v>
      </c>
      <c r="Y27" s="2" t="n">
        <f aca="false">+Z27-W27-X27</f>
        <v>121145</v>
      </c>
      <c r="Z27" s="2" t="n">
        <v>121787</v>
      </c>
      <c r="AA27" s="2" t="n">
        <v>210</v>
      </c>
      <c r="AB27" s="2" t="n">
        <v>156</v>
      </c>
      <c r="AC27" s="2" t="n">
        <v>5</v>
      </c>
      <c r="AD27" s="2" t="n">
        <v>807</v>
      </c>
      <c r="AE27" s="6" t="n">
        <v>63.7</v>
      </c>
      <c r="AF27" s="6" t="n">
        <v>12</v>
      </c>
      <c r="AG27" s="6" t="n">
        <f aca="false">100-AE27-AF27</f>
        <v>24.3</v>
      </c>
      <c r="AH27" s="6" t="n">
        <v>80.2</v>
      </c>
      <c r="AI27" s="6" t="n">
        <v>14.6</v>
      </c>
      <c r="AJ27" s="6" t="n">
        <f aca="false">100-AH27-AI27</f>
        <v>5.2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1</v>
      </c>
      <c r="AP27" s="7" t="n">
        <v>0</v>
      </c>
      <c r="AQ27" s="2" t="n">
        <v>5504</v>
      </c>
      <c r="AR27" s="2" t="n">
        <v>19464</v>
      </c>
      <c r="AS27" s="2" t="n">
        <v>24968</v>
      </c>
      <c r="AT27" s="2" t="n">
        <v>8497</v>
      </c>
      <c r="AU27" s="2" t="n">
        <v>2326</v>
      </c>
      <c r="AV27" s="2" t="n">
        <v>17463</v>
      </c>
      <c r="AW27" s="2" t="n">
        <v>28286</v>
      </c>
      <c r="AX27" s="8" t="n">
        <v>464531</v>
      </c>
      <c r="AY27" s="8" t="n">
        <v>199354</v>
      </c>
      <c r="AZ27" s="8" t="n">
        <v>1342</v>
      </c>
      <c r="BA27" s="8" t="n">
        <v>665227</v>
      </c>
      <c r="BB27" s="9" t="n">
        <v>210439</v>
      </c>
      <c r="BC27" s="8" t="n">
        <v>222712</v>
      </c>
      <c r="BD27" s="8" t="n">
        <v>8</v>
      </c>
      <c r="BE27" s="8" t="n">
        <v>433159</v>
      </c>
      <c r="BF27" s="9" t="n">
        <v>177283</v>
      </c>
      <c r="BG27" s="8" t="n">
        <v>124228</v>
      </c>
      <c r="BH27" s="8" t="n">
        <v>11715</v>
      </c>
      <c r="BI27" s="8" t="n">
        <v>19421</v>
      </c>
      <c r="BJ27" s="8" t="n">
        <v>1431033</v>
      </c>
    </row>
    <row r="28" customFormat="false" ht="14.65" hidden="false" customHeight="false" outlineLevel="0" collapsed="false">
      <c r="A28" s="5" t="s">
        <v>89</v>
      </c>
      <c r="B28" s="2" t="n">
        <v>4706</v>
      </c>
      <c r="C28" s="2" t="n">
        <v>35328</v>
      </c>
      <c r="D28" s="2" t="n">
        <v>40034</v>
      </c>
      <c r="E28" s="2" t="n">
        <v>485</v>
      </c>
      <c r="F28" s="2" t="n">
        <v>2123</v>
      </c>
      <c r="G28" s="2" t="n">
        <v>2608</v>
      </c>
      <c r="H28" s="2" t="n">
        <v>33598</v>
      </c>
      <c r="I28" s="2" t="n">
        <v>116717</v>
      </c>
      <c r="J28" s="2" t="n">
        <v>150315</v>
      </c>
      <c r="K28" s="2" t="n">
        <v>3520</v>
      </c>
      <c r="L28" s="2" t="n">
        <v>12273</v>
      </c>
      <c r="M28" s="2" t="n">
        <v>15793</v>
      </c>
      <c r="N28" s="2" t="n">
        <v>38304</v>
      </c>
      <c r="O28" s="2" t="n">
        <v>152045</v>
      </c>
      <c r="P28" s="2" t="n">
        <v>190349</v>
      </c>
      <c r="Q28" s="2" t="n">
        <v>4005</v>
      </c>
      <c r="R28" s="2" t="n">
        <v>14396</v>
      </c>
      <c r="S28" s="2" t="n">
        <v>18401</v>
      </c>
      <c r="T28" s="2" t="n">
        <v>1137</v>
      </c>
      <c r="U28" s="2" t="n">
        <f aca="false">+V28-T28</f>
        <v>66251</v>
      </c>
      <c r="V28" s="2" t="n">
        <v>67388</v>
      </c>
      <c r="W28" s="2" t="n">
        <v>53</v>
      </c>
      <c r="X28" s="2" t="n">
        <v>0</v>
      </c>
      <c r="Y28" s="2" t="n">
        <f aca="false">+Z28-W28-X28</f>
        <v>69715</v>
      </c>
      <c r="Z28" s="2" t="n">
        <v>69768</v>
      </c>
      <c r="AA28" s="2" t="n">
        <v>0</v>
      </c>
      <c r="AB28" s="2" t="n">
        <v>53</v>
      </c>
      <c r="AC28" s="2" t="n">
        <v>0</v>
      </c>
      <c r="AD28" s="2" t="n">
        <v>1137</v>
      </c>
      <c r="AE28" s="6" t="n">
        <v>53.1</v>
      </c>
      <c r="AF28" s="6" t="n">
        <v>31.6</v>
      </c>
      <c r="AG28" s="6" t="n">
        <f aca="false">100-AE28-AF28</f>
        <v>15.3</v>
      </c>
      <c r="AH28" s="6" t="n">
        <v>67.5</v>
      </c>
      <c r="AI28" s="6" t="n">
        <v>22.9</v>
      </c>
      <c r="AJ28" s="6" t="n">
        <f aca="false">100-AH28-AI28</f>
        <v>9.6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2" t="n">
        <v>1928</v>
      </c>
      <c r="AR28" s="2" t="n">
        <v>4574</v>
      </c>
      <c r="AS28" s="2" t="n">
        <v>6502</v>
      </c>
      <c r="AT28" s="2" t="n">
        <v>184</v>
      </c>
      <c r="AU28" s="2" t="n">
        <v>0</v>
      </c>
      <c r="AV28" s="2" t="n">
        <v>1839</v>
      </c>
      <c r="AW28" s="2" t="n">
        <v>2023</v>
      </c>
      <c r="AX28" s="8" t="n">
        <v>191070</v>
      </c>
      <c r="AY28" s="8" t="n">
        <v>57652</v>
      </c>
      <c r="AZ28" s="8" t="n">
        <v>9217</v>
      </c>
      <c r="BA28" s="8" t="n">
        <v>257939</v>
      </c>
      <c r="BB28" s="9" t="n">
        <v>42087</v>
      </c>
      <c r="BC28" s="8" t="n">
        <v>21356</v>
      </c>
      <c r="BD28" s="8" t="n">
        <v>4178</v>
      </c>
      <c r="BE28" s="8" t="n">
        <v>67621</v>
      </c>
      <c r="BF28" s="9" t="n">
        <v>16843</v>
      </c>
      <c r="BG28" s="8" t="n">
        <v>19424</v>
      </c>
      <c r="BH28" s="8" t="n">
        <v>13958</v>
      </c>
      <c r="BI28" s="8" t="n">
        <v>1723</v>
      </c>
      <c r="BJ28" s="8" t="n">
        <v>377508</v>
      </c>
    </row>
    <row r="29" customFormat="false" ht="14.65" hidden="false" customHeight="false" outlineLevel="0" collapsed="false">
      <c r="A29" s="5" t="s">
        <v>90</v>
      </c>
      <c r="B29" s="2" t="n">
        <v>25688</v>
      </c>
      <c r="C29" s="2" t="n">
        <v>33785</v>
      </c>
      <c r="D29" s="2" t="n">
        <v>59473</v>
      </c>
      <c r="E29" s="2" t="n">
        <v>469</v>
      </c>
      <c r="F29" s="2" t="n">
        <v>7711</v>
      </c>
      <c r="G29" s="2" t="n">
        <v>8180</v>
      </c>
      <c r="H29" s="2" t="n">
        <v>35102</v>
      </c>
      <c r="I29" s="2" t="n">
        <v>177951</v>
      </c>
      <c r="J29" s="2" t="n">
        <v>213053</v>
      </c>
      <c r="K29" s="2" t="n">
        <v>3277</v>
      </c>
      <c r="L29" s="2" t="n">
        <v>25251</v>
      </c>
      <c r="M29" s="2" t="n">
        <v>28528</v>
      </c>
      <c r="N29" s="2" t="n">
        <v>60790</v>
      </c>
      <c r="O29" s="2" t="n">
        <v>211736</v>
      </c>
      <c r="P29" s="2" t="n">
        <v>272526</v>
      </c>
      <c r="Q29" s="2" t="n">
        <v>3746</v>
      </c>
      <c r="R29" s="2" t="n">
        <v>32962</v>
      </c>
      <c r="S29" s="2" t="n">
        <v>36708</v>
      </c>
      <c r="T29" s="2" t="n">
        <v>437</v>
      </c>
      <c r="U29" s="2" t="n">
        <f aca="false">+V29-T29</f>
        <v>87211</v>
      </c>
      <c r="V29" s="2" t="n">
        <v>87648</v>
      </c>
      <c r="W29" s="2" t="n">
        <v>44</v>
      </c>
      <c r="X29" s="2" t="n">
        <v>11</v>
      </c>
      <c r="Y29" s="2" t="n">
        <f aca="false">+Z29-W29-X29</f>
        <v>92647</v>
      </c>
      <c r="Z29" s="2" t="n">
        <v>92702</v>
      </c>
      <c r="AA29" s="2" t="n">
        <v>11</v>
      </c>
      <c r="AB29" s="2" t="n">
        <v>33</v>
      </c>
      <c r="AC29" s="2" t="n">
        <v>0</v>
      </c>
      <c r="AD29" s="2" t="n">
        <v>437</v>
      </c>
      <c r="AE29" s="6" t="n">
        <v>50.3</v>
      </c>
      <c r="AF29" s="6" t="n">
        <v>23.6</v>
      </c>
      <c r="AG29" s="6" t="n">
        <f aca="false">100-AE29-AF29</f>
        <v>26.1</v>
      </c>
      <c r="AH29" s="6" t="n">
        <v>68.8</v>
      </c>
      <c r="AI29" s="6" t="n">
        <v>25.5</v>
      </c>
      <c r="AJ29" s="6" t="n">
        <f aca="false">100-AH29-AI29</f>
        <v>5.7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1</v>
      </c>
      <c r="AP29" s="7" t="n">
        <v>0</v>
      </c>
      <c r="AQ29" s="2" t="n">
        <v>1994</v>
      </c>
      <c r="AR29" s="2" t="n">
        <v>6966</v>
      </c>
      <c r="AS29" s="2" t="n">
        <v>8960</v>
      </c>
      <c r="AT29" s="2" t="n">
        <v>734</v>
      </c>
      <c r="AU29" s="2" t="n">
        <v>93</v>
      </c>
      <c r="AV29" s="2" t="n">
        <v>4834</v>
      </c>
      <c r="AW29" s="2" t="n">
        <v>5661</v>
      </c>
      <c r="AX29" s="8" t="n">
        <v>244117</v>
      </c>
      <c r="AY29" s="8" t="n">
        <v>192494</v>
      </c>
      <c r="AZ29" s="8" t="n">
        <v>34598</v>
      </c>
      <c r="BA29" s="8" t="n">
        <v>471209</v>
      </c>
      <c r="BB29" s="9" t="n">
        <v>51993</v>
      </c>
      <c r="BC29" s="8" t="n">
        <v>126578</v>
      </c>
      <c r="BD29" s="8" t="n">
        <v>444</v>
      </c>
      <c r="BE29" s="8" t="n">
        <v>179015</v>
      </c>
      <c r="BF29" s="9" t="n">
        <v>43639</v>
      </c>
      <c r="BG29" s="8" t="n">
        <v>42934</v>
      </c>
      <c r="BH29" s="8" t="n">
        <v>15349</v>
      </c>
      <c r="BI29" s="8" t="n">
        <v>27120</v>
      </c>
      <c r="BJ29" s="8" t="n">
        <v>779266</v>
      </c>
    </row>
    <row r="30" customFormat="false" ht="14.65" hidden="false" customHeight="false" outlineLevel="0" collapsed="false">
      <c r="A30" s="10" t="s">
        <v>91</v>
      </c>
      <c r="B30" s="2" t="e">
        <f aca="false">#REF!</f>
        <v>#VALUE!</v>
      </c>
      <c r="C30" s="2" t="e">
        <f aca="false">#REF!</f>
        <v>#VALUE!</v>
      </c>
      <c r="D30" s="2" t="e">
        <f aca="false">#REF!</f>
        <v>#VALUE!</v>
      </c>
      <c r="E30" s="2" t="e">
        <f aca="false">#REF!</f>
        <v>#VALUE!</v>
      </c>
      <c r="F30" s="2" t="e">
        <f aca="false">#REF!</f>
        <v>#VALUE!</v>
      </c>
      <c r="G30" s="2" t="e">
        <f aca="false">#REF!</f>
        <v>#VALUE!</v>
      </c>
      <c r="H30" s="2" t="s">
        <v>64</v>
      </c>
      <c r="I30" s="2" t="e">
        <f aca="false">#REF!</f>
        <v>#VALUE!</v>
      </c>
      <c r="J30" s="2" t="s">
        <v>64</v>
      </c>
      <c r="K30" s="2" t="s">
        <v>64</v>
      </c>
      <c r="L30" s="2" t="e">
        <f aca="false">#REF!</f>
        <v>#VALUE!</v>
      </c>
      <c r="M30" s="2" t="s">
        <v>64</v>
      </c>
      <c r="N30" s="2" t="s">
        <v>64</v>
      </c>
      <c r="O30" s="2" t="e">
        <f aca="false">#REF!</f>
        <v>#VALUE!</v>
      </c>
      <c r="P30" s="2" t="s">
        <v>64</v>
      </c>
      <c r="Q30" s="2" t="s">
        <v>64</v>
      </c>
      <c r="R30" s="2" t="e">
        <f aca="false">#REF!</f>
        <v>#VALUE!</v>
      </c>
      <c r="S30" s="2" t="s">
        <v>64</v>
      </c>
      <c r="T30" s="2" t="n">
        <v>480</v>
      </c>
      <c r="U30" s="2" t="n">
        <f aca="false">+V30-T30</f>
        <v>40701</v>
      </c>
      <c r="V30" s="2" t="n">
        <v>41181</v>
      </c>
      <c r="W30" s="2" t="n">
        <v>65</v>
      </c>
      <c r="X30" s="2" t="n">
        <v>32</v>
      </c>
      <c r="Y30" s="2" t="n">
        <f aca="false">+Z30-W30-X30</f>
        <v>45681</v>
      </c>
      <c r="Z30" s="2" t="n">
        <v>45778</v>
      </c>
      <c r="AA30" s="2" t="n">
        <v>20</v>
      </c>
      <c r="AB30" s="2" t="n">
        <v>45</v>
      </c>
      <c r="AC30" s="2" t="n">
        <v>0</v>
      </c>
      <c r="AD30" s="2" t="n">
        <v>480</v>
      </c>
      <c r="AE30" s="6" t="n">
        <v>69.5</v>
      </c>
      <c r="AF30" s="6" t="n">
        <v>4.3</v>
      </c>
      <c r="AG30" s="6" t="n">
        <f aca="false">100-AE30-AF30</f>
        <v>26.2</v>
      </c>
      <c r="AH30" s="6" t="n">
        <v>91.1</v>
      </c>
      <c r="AI30" s="6" t="n">
        <v>3.2</v>
      </c>
      <c r="AJ30" s="6" t="n">
        <f aca="false">100-AH30-AI30</f>
        <v>5.70000000000001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2" t="n">
        <v>1522</v>
      </c>
      <c r="AR30" s="2" t="n">
        <v>2957</v>
      </c>
      <c r="AS30" s="2" t="n">
        <v>4479</v>
      </c>
      <c r="AT30" s="2" t="n">
        <v>1147</v>
      </c>
      <c r="AU30" s="2" t="n">
        <v>579</v>
      </c>
      <c r="AV30" s="2" t="n">
        <v>4692</v>
      </c>
      <c r="AW30" s="2" t="n">
        <v>6418</v>
      </c>
      <c r="AX30" s="11" t="n">
        <v>168487</v>
      </c>
      <c r="AY30" s="11" t="n">
        <v>10557</v>
      </c>
      <c r="AZ30" s="11" t="n">
        <v>2640</v>
      </c>
      <c r="BA30" s="11" t="n">
        <v>181684</v>
      </c>
      <c r="BB30" s="12" t="n">
        <v>58785</v>
      </c>
      <c r="BC30" s="11" t="n">
        <v>14637</v>
      </c>
      <c r="BD30" s="11" t="n">
        <v>1048</v>
      </c>
      <c r="BE30" s="11" t="n">
        <v>74470</v>
      </c>
      <c r="BF30" s="12" t="n">
        <v>23360</v>
      </c>
      <c r="BG30" s="11" t="n">
        <v>24049</v>
      </c>
      <c r="BH30" s="11" t="n">
        <v>12962</v>
      </c>
      <c r="BI30" s="11" t="n">
        <v>16786</v>
      </c>
      <c r="BJ30" s="11" t="n">
        <v>333311</v>
      </c>
    </row>
    <row r="31" customFormat="false" ht="14.65" hidden="false" customHeight="false" outlineLevel="0" collapsed="false">
      <c r="A31" s="5" t="s">
        <v>92</v>
      </c>
      <c r="B31" s="2" t="n">
        <v>12430</v>
      </c>
      <c r="C31" s="2" t="n">
        <v>58654</v>
      </c>
      <c r="D31" s="2" t="n">
        <v>71084</v>
      </c>
      <c r="E31" s="2" t="n">
        <v>555</v>
      </c>
      <c r="F31" s="2" t="n">
        <v>9422</v>
      </c>
      <c r="G31" s="2" t="n">
        <v>9977</v>
      </c>
      <c r="H31" s="2" t="n">
        <v>39037</v>
      </c>
      <c r="I31" s="2" t="n">
        <v>61431</v>
      </c>
      <c r="J31" s="2" t="n">
        <v>100468</v>
      </c>
      <c r="K31" s="2" t="n">
        <v>3699</v>
      </c>
      <c r="L31" s="2" t="n">
        <v>44484</v>
      </c>
      <c r="M31" s="2" t="n">
        <v>48183</v>
      </c>
      <c r="N31" s="2" t="n">
        <v>51467</v>
      </c>
      <c r="O31" s="2" t="n">
        <v>120085</v>
      </c>
      <c r="P31" s="2" t="n">
        <v>171552</v>
      </c>
      <c r="Q31" s="2" t="n">
        <v>4254</v>
      </c>
      <c r="R31" s="2" t="n">
        <v>53906</v>
      </c>
      <c r="S31" s="2" t="n">
        <v>58160</v>
      </c>
      <c r="T31" s="2" t="n">
        <v>176</v>
      </c>
      <c r="U31" s="2" t="n">
        <f aca="false">+V31-T31</f>
        <v>11893</v>
      </c>
      <c r="V31" s="2" t="n">
        <v>12069</v>
      </c>
      <c r="W31" s="2" t="n">
        <v>48</v>
      </c>
      <c r="X31" s="2" t="n">
        <v>40</v>
      </c>
      <c r="Y31" s="2" t="n">
        <f aca="false">+Z31-W31-X31</f>
        <v>14850</v>
      </c>
      <c r="Z31" s="2" t="n">
        <v>14938</v>
      </c>
      <c r="AA31" s="2" t="n">
        <v>13</v>
      </c>
      <c r="AB31" s="2" t="n">
        <v>35</v>
      </c>
      <c r="AC31" s="2" t="n">
        <v>21</v>
      </c>
      <c r="AD31" s="2" t="n">
        <v>155</v>
      </c>
      <c r="AE31" s="6" t="n">
        <v>74.5</v>
      </c>
      <c r="AF31" s="6" t="n">
        <v>21.8</v>
      </c>
      <c r="AG31" s="6" t="n">
        <f aca="false">100-AE31-AF31</f>
        <v>3.7</v>
      </c>
      <c r="AH31" s="6" t="n">
        <v>69.3</v>
      </c>
      <c r="AI31" s="6" t="n">
        <v>27</v>
      </c>
      <c r="AJ31" s="6" t="n">
        <f aca="false">100-AH31-AI31</f>
        <v>3.7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1</v>
      </c>
      <c r="AQ31" s="2" t="n">
        <v>1330</v>
      </c>
      <c r="AR31" s="2" t="n">
        <v>5025</v>
      </c>
      <c r="AS31" s="2" t="n">
        <v>6355</v>
      </c>
      <c r="AT31" s="2" t="n">
        <v>712</v>
      </c>
      <c r="AU31" s="2" t="n">
        <v>448</v>
      </c>
      <c r="AV31" s="2" t="n">
        <v>2552</v>
      </c>
      <c r="AW31" s="2" t="n">
        <v>3712</v>
      </c>
      <c r="AX31" s="8" t="n">
        <v>86815</v>
      </c>
      <c r="AY31" s="8" t="n">
        <v>37694</v>
      </c>
      <c r="AZ31" s="8" t="n">
        <v>0</v>
      </c>
      <c r="BA31" s="8" t="n">
        <v>124509</v>
      </c>
      <c r="BB31" s="9" t="n">
        <v>98469</v>
      </c>
      <c r="BC31" s="8" t="n">
        <v>66752</v>
      </c>
      <c r="BD31" s="8" t="n">
        <v>106</v>
      </c>
      <c r="BE31" s="8" t="n">
        <v>165327</v>
      </c>
      <c r="BF31" s="9" t="n">
        <v>96270</v>
      </c>
      <c r="BG31" s="8" t="n">
        <v>46005</v>
      </c>
      <c r="BH31" s="8" t="n">
        <v>21722</v>
      </c>
      <c r="BI31" s="8" t="n">
        <v>4533</v>
      </c>
      <c r="BJ31" s="8" t="n">
        <v>458366</v>
      </c>
    </row>
    <row r="32" customFormat="false" ht="14.65" hidden="false" customHeight="false" outlineLevel="0" collapsed="false">
      <c r="A32" s="5" t="s">
        <v>93</v>
      </c>
      <c r="B32" s="2" t="n">
        <v>498494</v>
      </c>
      <c r="C32" s="2" t="n">
        <v>436924</v>
      </c>
      <c r="D32" s="2" t="n">
        <v>935418</v>
      </c>
      <c r="E32" s="2" t="n">
        <v>38105</v>
      </c>
      <c r="F32" s="2" t="n">
        <v>129416</v>
      </c>
      <c r="G32" s="2" t="n">
        <v>167521</v>
      </c>
      <c r="H32" s="2" t="n">
        <v>10398</v>
      </c>
      <c r="I32" s="2" t="n">
        <v>95880</v>
      </c>
      <c r="J32" s="2" t="n">
        <v>106278</v>
      </c>
      <c r="K32" s="2" t="n">
        <v>4801</v>
      </c>
      <c r="L32" s="2" t="n">
        <v>25387</v>
      </c>
      <c r="M32" s="2" t="n">
        <v>30188</v>
      </c>
      <c r="N32" s="2" t="n">
        <v>508892</v>
      </c>
      <c r="O32" s="2" t="n">
        <v>532804</v>
      </c>
      <c r="P32" s="2" t="n">
        <v>1041696</v>
      </c>
      <c r="Q32" s="2" t="n">
        <v>42906</v>
      </c>
      <c r="R32" s="2" t="n">
        <v>154803</v>
      </c>
      <c r="S32" s="2" t="n">
        <v>197709</v>
      </c>
      <c r="T32" s="2" t="n">
        <v>113</v>
      </c>
      <c r="U32" s="2" t="n">
        <f aca="false">+V32-T32</f>
        <v>10955</v>
      </c>
      <c r="V32" s="2" t="n">
        <v>11068</v>
      </c>
      <c r="W32" s="2" t="n">
        <v>300</v>
      </c>
      <c r="X32" s="2" t="n">
        <v>306</v>
      </c>
      <c r="Y32" s="2" t="n">
        <f aca="false">+Z32-W32-X32</f>
        <v>34491</v>
      </c>
      <c r="Z32" s="2" t="n">
        <v>35097</v>
      </c>
      <c r="AA32" s="2" t="n">
        <v>246</v>
      </c>
      <c r="AB32" s="2" t="n">
        <v>54</v>
      </c>
      <c r="AC32" s="2" t="n">
        <v>56</v>
      </c>
      <c r="AD32" s="2" t="n">
        <v>57</v>
      </c>
      <c r="AE32" s="6" t="n">
        <v>72.5</v>
      </c>
      <c r="AF32" s="6" t="n">
        <v>16.3</v>
      </c>
      <c r="AG32" s="6" t="n">
        <f aca="false">100-AE32-AF32</f>
        <v>11.2</v>
      </c>
      <c r="AH32" s="6" t="n">
        <v>74.4</v>
      </c>
      <c r="AI32" s="6" t="n">
        <v>17.7</v>
      </c>
      <c r="AJ32" s="6" t="n">
        <f aca="false">100-AH32-AI32</f>
        <v>7.9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1</v>
      </c>
      <c r="AQ32" s="2" t="n">
        <v>2124</v>
      </c>
      <c r="AR32" s="2" t="n">
        <v>9726</v>
      </c>
      <c r="AS32" s="2" t="n">
        <v>11850</v>
      </c>
      <c r="AT32" s="2" t="n">
        <v>8110</v>
      </c>
      <c r="AU32" s="2" t="n">
        <v>5734</v>
      </c>
      <c r="AV32" s="2" t="n">
        <v>33716</v>
      </c>
      <c r="AW32" s="2" t="n">
        <v>47560</v>
      </c>
      <c r="AX32" s="8" t="n">
        <v>1250419</v>
      </c>
      <c r="AY32" s="8" t="n">
        <v>100871</v>
      </c>
      <c r="AZ32" s="8" t="n">
        <v>0</v>
      </c>
      <c r="BA32" s="8" t="n">
        <v>1351290</v>
      </c>
      <c r="BB32" s="9" t="n">
        <v>358862</v>
      </c>
      <c r="BC32" s="8" t="n">
        <v>342765</v>
      </c>
      <c r="BD32" s="8" t="n">
        <v>0</v>
      </c>
      <c r="BE32" s="8" t="n">
        <v>701627</v>
      </c>
      <c r="BF32" s="9" t="n">
        <v>381121</v>
      </c>
      <c r="BG32" s="8" t="n">
        <v>254093</v>
      </c>
      <c r="BH32" s="8" t="n">
        <v>238792</v>
      </c>
      <c r="BI32" s="8" t="n">
        <v>220850</v>
      </c>
      <c r="BJ32" s="8" t="n">
        <v>3147773</v>
      </c>
    </row>
    <row r="33" customFormat="false" ht="14.65" hidden="false" customHeight="false" outlineLevel="0" collapsed="false">
      <c r="A33" s="5" t="s">
        <v>94</v>
      </c>
      <c r="B33" s="2" t="n">
        <v>27850</v>
      </c>
      <c r="C33" s="2" t="n">
        <v>49279</v>
      </c>
      <c r="D33" s="2" t="n">
        <v>77129</v>
      </c>
      <c r="E33" s="2" t="e">
        <f aca="false">#REF!</f>
        <v>#VALUE!</v>
      </c>
      <c r="F33" s="2" t="e">
        <f aca="false">#REF!</f>
        <v>#VALUE!</v>
      </c>
      <c r="G33" s="2" t="e">
        <f aca="false">#REF!</f>
        <v>#VALUE!</v>
      </c>
      <c r="H33" s="2" t="n">
        <v>63130</v>
      </c>
      <c r="I33" s="2" t="n">
        <v>176558</v>
      </c>
      <c r="J33" s="2" t="n">
        <v>239688</v>
      </c>
      <c r="K33" s="2" t="s">
        <v>64</v>
      </c>
      <c r="L33" s="2" t="e">
        <f aca="false">#REF!</f>
        <v>#VALUE!</v>
      </c>
      <c r="M33" s="2" t="s">
        <v>64</v>
      </c>
      <c r="N33" s="2" t="n">
        <v>90980</v>
      </c>
      <c r="O33" s="2" t="n">
        <v>225837</v>
      </c>
      <c r="P33" s="2" t="n">
        <v>316817</v>
      </c>
      <c r="Q33" s="2" t="s">
        <v>64</v>
      </c>
      <c r="R33" s="2" t="e">
        <f aca="false">#REF!</f>
        <v>#VALUE!</v>
      </c>
      <c r="S33" s="2" t="n">
        <v>52572</v>
      </c>
      <c r="T33" s="2" t="n">
        <v>907</v>
      </c>
      <c r="U33" s="2" t="n">
        <f aca="false">+V33-T33</f>
        <v>54054</v>
      </c>
      <c r="V33" s="2" t="n">
        <v>54961</v>
      </c>
      <c r="W33" s="2" t="n">
        <v>91</v>
      </c>
      <c r="X33" s="2" t="n">
        <v>3</v>
      </c>
      <c r="Y33" s="2" t="n">
        <f aca="false">+Z33-W33-X33</f>
        <v>60718</v>
      </c>
      <c r="Z33" s="2" t="n">
        <v>60812</v>
      </c>
      <c r="AA33" s="2" t="n">
        <v>26</v>
      </c>
      <c r="AB33" s="2" t="n">
        <v>65</v>
      </c>
      <c r="AC33" s="2" t="n">
        <v>10</v>
      </c>
      <c r="AD33" s="2" t="n">
        <v>897</v>
      </c>
      <c r="AE33" s="6" t="n">
        <v>63.6</v>
      </c>
      <c r="AF33" s="6" t="n">
        <v>15.3</v>
      </c>
      <c r="AG33" s="6" t="n">
        <f aca="false">100-AE33-AF33</f>
        <v>21.1</v>
      </c>
      <c r="AH33" s="6" t="n">
        <v>66</v>
      </c>
      <c r="AI33" s="6" t="n">
        <v>14.7</v>
      </c>
      <c r="AJ33" s="6" t="n">
        <f aca="false">100-AH33-AI33</f>
        <v>19.3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2" t="n">
        <v>3659</v>
      </c>
      <c r="AR33" s="2" t="n">
        <v>7989</v>
      </c>
      <c r="AS33" s="2" t="n">
        <v>11648</v>
      </c>
      <c r="AT33" s="2" t="n">
        <v>1202</v>
      </c>
      <c r="AU33" s="2" t="n">
        <v>2</v>
      </c>
      <c r="AV33" s="2" t="n">
        <v>5600</v>
      </c>
      <c r="AW33" s="2" t="n">
        <v>6804</v>
      </c>
      <c r="AX33" s="8" t="n">
        <v>245616</v>
      </c>
      <c r="AY33" s="8" t="n">
        <v>38902</v>
      </c>
      <c r="AZ33" s="8" t="n">
        <v>6033</v>
      </c>
      <c r="BA33" s="8" t="n">
        <v>290551</v>
      </c>
      <c r="BB33" s="9" t="n">
        <v>63812</v>
      </c>
      <c r="BC33" s="8" t="n">
        <v>38326</v>
      </c>
      <c r="BD33" s="8" t="n">
        <v>5674</v>
      </c>
      <c r="BE33" s="8" t="n">
        <v>107812</v>
      </c>
      <c r="BF33" s="9" t="n">
        <v>65312</v>
      </c>
      <c r="BG33" s="8" t="n">
        <v>26275</v>
      </c>
      <c r="BH33" s="8" t="n">
        <v>2532</v>
      </c>
      <c r="BI33" s="8" t="n">
        <v>2014</v>
      </c>
      <c r="BJ33" s="8" t="n">
        <v>494496</v>
      </c>
    </row>
    <row r="34" customFormat="false" ht="14.65" hidden="false" customHeight="false" outlineLevel="0" collapsed="false">
      <c r="A34" s="10" t="s">
        <v>95</v>
      </c>
      <c r="B34" s="2" t="n">
        <v>659716</v>
      </c>
      <c r="C34" s="2" t="n">
        <v>1156753</v>
      </c>
      <c r="D34" s="2" t="n">
        <v>1816469</v>
      </c>
      <c r="E34" s="2" t="n">
        <v>6566</v>
      </c>
      <c r="F34" s="2" t="n">
        <v>139131</v>
      </c>
      <c r="G34" s="2" t="n">
        <v>145697</v>
      </c>
      <c r="H34" s="2" t="n">
        <v>308954</v>
      </c>
      <c r="I34" s="2" t="n">
        <v>79800</v>
      </c>
      <c r="J34" s="2" t="n">
        <v>388754</v>
      </c>
      <c r="K34" s="2" t="n">
        <v>104087</v>
      </c>
      <c r="L34" s="2" t="n">
        <v>37561</v>
      </c>
      <c r="M34" s="2" t="n">
        <v>141648</v>
      </c>
      <c r="N34" s="2" t="n">
        <v>968670</v>
      </c>
      <c r="O34" s="2" t="n">
        <v>1236553</v>
      </c>
      <c r="P34" s="2" t="n">
        <v>2205223</v>
      </c>
      <c r="Q34" s="2" t="n">
        <v>110653</v>
      </c>
      <c r="R34" s="2" t="n">
        <v>176692</v>
      </c>
      <c r="S34" s="2" t="n">
        <v>287345</v>
      </c>
      <c r="T34" s="2" t="n">
        <v>797</v>
      </c>
      <c r="U34" s="2" t="n">
        <f aca="false">+V34-T34</f>
        <v>71792</v>
      </c>
      <c r="V34" s="2" t="n">
        <v>72589</v>
      </c>
      <c r="W34" s="2" t="n">
        <v>703</v>
      </c>
      <c r="X34" s="2" t="n">
        <v>857</v>
      </c>
      <c r="Y34" s="2" t="n">
        <f aca="false">+Z34-W34-X34</f>
        <v>110322</v>
      </c>
      <c r="Z34" s="2" t="n">
        <v>111882</v>
      </c>
      <c r="AA34" s="2" t="n">
        <v>385</v>
      </c>
      <c r="AB34" s="2" t="n">
        <v>318</v>
      </c>
      <c r="AC34" s="2" t="n">
        <v>52</v>
      </c>
      <c r="AD34" s="2" t="n">
        <v>745</v>
      </c>
      <c r="AE34" s="6" t="n">
        <v>69.5</v>
      </c>
      <c r="AF34" s="6" t="n">
        <v>16.3</v>
      </c>
      <c r="AG34" s="6" t="n">
        <f aca="false">100-AE34-AF34</f>
        <v>14.2</v>
      </c>
      <c r="AH34" s="6" t="n">
        <v>77.4</v>
      </c>
      <c r="AI34" s="6" t="n">
        <v>17.2</v>
      </c>
      <c r="AJ34" s="6" t="n">
        <f aca="false">100-AH34-AI34</f>
        <v>5.4</v>
      </c>
      <c r="AK34" s="7" t="n">
        <v>0</v>
      </c>
      <c r="AL34" s="7" t="n">
        <v>1</v>
      </c>
      <c r="AM34" s="7" t="n">
        <v>0</v>
      </c>
      <c r="AN34" s="7" t="n">
        <v>0</v>
      </c>
      <c r="AO34" s="7" t="n">
        <v>0</v>
      </c>
      <c r="AP34" s="7" t="n">
        <v>1</v>
      </c>
      <c r="AQ34" s="2" t="n">
        <v>5381</v>
      </c>
      <c r="AR34" s="2" t="n">
        <v>24961</v>
      </c>
      <c r="AS34" s="2" t="n">
        <v>30342</v>
      </c>
      <c r="AT34" s="2" t="n">
        <v>14475</v>
      </c>
      <c r="AU34" s="2" t="n">
        <v>14327</v>
      </c>
      <c r="AV34" s="2" t="n">
        <v>50737</v>
      </c>
      <c r="AW34" s="2" t="n">
        <v>79539</v>
      </c>
      <c r="AX34" s="11" t="n">
        <v>1172069</v>
      </c>
      <c r="AY34" s="11" t="n">
        <v>1220310</v>
      </c>
      <c r="AZ34" s="11" t="n">
        <v>176</v>
      </c>
      <c r="BA34" s="11" t="n">
        <v>2392555</v>
      </c>
      <c r="BB34" s="12" t="n">
        <v>606776</v>
      </c>
      <c r="BC34" s="11" t="n">
        <v>1839465</v>
      </c>
      <c r="BD34" s="11" t="n">
        <v>200</v>
      </c>
      <c r="BE34" s="11" t="n">
        <v>2446441</v>
      </c>
      <c r="BF34" s="12" t="n">
        <v>616785</v>
      </c>
      <c r="BG34" s="11" t="n">
        <v>283252</v>
      </c>
      <c r="BH34" s="11" t="n">
        <v>586457</v>
      </c>
      <c r="BI34" s="11" t="n">
        <v>409463</v>
      </c>
      <c r="BJ34" s="11" t="n">
        <v>6734953</v>
      </c>
    </row>
    <row r="35" customFormat="false" ht="14.65" hidden="false" customHeight="false" outlineLevel="0" collapsed="false">
      <c r="A35" s="5" t="s">
        <v>96</v>
      </c>
      <c r="B35" s="2" t="n">
        <v>64284</v>
      </c>
      <c r="C35" s="2" t="n">
        <v>356506</v>
      </c>
      <c r="D35" s="2" t="n">
        <v>420790</v>
      </c>
      <c r="E35" s="2" t="n">
        <v>2913</v>
      </c>
      <c r="F35" s="2" t="n">
        <v>285614</v>
      </c>
      <c r="G35" s="2" t="n">
        <v>288527</v>
      </c>
      <c r="H35" s="2" t="n">
        <v>95113</v>
      </c>
      <c r="I35" s="2" t="n">
        <v>304887</v>
      </c>
      <c r="J35" s="2" t="n">
        <v>400000</v>
      </c>
      <c r="K35" s="2" t="n">
        <v>8739</v>
      </c>
      <c r="L35" s="2" t="n">
        <v>86962</v>
      </c>
      <c r="M35" s="2" t="n">
        <v>95701</v>
      </c>
      <c r="N35" s="2" t="n">
        <v>159397</v>
      </c>
      <c r="O35" s="2" t="n">
        <v>661393</v>
      </c>
      <c r="P35" s="2" t="n">
        <v>820790</v>
      </c>
      <c r="Q35" s="2" t="n">
        <v>11652</v>
      </c>
      <c r="R35" s="2" t="n">
        <v>372576</v>
      </c>
      <c r="S35" s="2" t="n">
        <v>384228</v>
      </c>
      <c r="T35" s="2" t="n">
        <v>633</v>
      </c>
      <c r="U35" s="2" t="n">
        <f aca="false">+V35-T35</f>
        <v>73672</v>
      </c>
      <c r="V35" s="2" t="n">
        <v>74305</v>
      </c>
      <c r="W35" s="2" t="n">
        <v>337</v>
      </c>
      <c r="X35" s="2" t="n">
        <v>260</v>
      </c>
      <c r="Y35" s="2" t="n">
        <f aca="false">+Z35-W35-X35</f>
        <v>95431</v>
      </c>
      <c r="Z35" s="2" t="n">
        <v>96028</v>
      </c>
      <c r="AA35" s="2" t="n">
        <v>87</v>
      </c>
      <c r="AB35" s="2" t="n">
        <v>250</v>
      </c>
      <c r="AC35" s="2" t="n">
        <v>18</v>
      </c>
      <c r="AD35" s="2" t="n">
        <v>615</v>
      </c>
      <c r="AE35" s="6" t="n">
        <v>70.9</v>
      </c>
      <c r="AF35" s="6" t="n">
        <v>7.1</v>
      </c>
      <c r="AG35" s="6" t="n">
        <f aca="false">100-AE35-AF35</f>
        <v>22</v>
      </c>
      <c r="AH35" s="6" t="n">
        <v>74.5</v>
      </c>
      <c r="AI35" s="6" t="n">
        <v>14.3</v>
      </c>
      <c r="AJ35" s="6" t="n">
        <f aca="false">100-AH35-AI35</f>
        <v>11.2</v>
      </c>
      <c r="AK35" s="7" t="n">
        <v>0</v>
      </c>
      <c r="AL35" s="7" t="n">
        <v>0</v>
      </c>
      <c r="AM35" s="7" t="n">
        <v>0</v>
      </c>
      <c r="AN35" s="7" t="n">
        <v>1</v>
      </c>
      <c r="AO35" s="7" t="n">
        <v>0</v>
      </c>
      <c r="AP35" s="7" t="n">
        <v>0</v>
      </c>
      <c r="AQ35" s="2" t="n">
        <v>6237</v>
      </c>
      <c r="AR35" s="2" t="n">
        <v>27529</v>
      </c>
      <c r="AS35" s="2" t="n">
        <v>33766</v>
      </c>
      <c r="AT35" s="2" t="n">
        <v>6050</v>
      </c>
      <c r="AU35" s="2" t="n">
        <v>2464</v>
      </c>
      <c r="AV35" s="2" t="n">
        <v>25258</v>
      </c>
      <c r="AW35" s="2" t="n">
        <v>33772</v>
      </c>
      <c r="AX35" s="8" t="n">
        <v>772594</v>
      </c>
      <c r="AY35" s="8" t="n">
        <v>127328</v>
      </c>
      <c r="AZ35" s="8" t="n">
        <v>10329</v>
      </c>
      <c r="BA35" s="8" t="n">
        <v>910251</v>
      </c>
      <c r="BB35" s="9" t="n">
        <v>362139</v>
      </c>
      <c r="BC35" s="8" t="n">
        <v>86571</v>
      </c>
      <c r="BD35" s="8" t="n">
        <v>1044</v>
      </c>
      <c r="BE35" s="8" t="n">
        <v>449754</v>
      </c>
      <c r="BF35" s="9" t="n">
        <v>127094</v>
      </c>
      <c r="BG35" s="8" t="n">
        <v>203642</v>
      </c>
      <c r="BH35" s="8" t="n">
        <v>28870</v>
      </c>
      <c r="BI35" s="8" t="n">
        <v>17703</v>
      </c>
      <c r="BJ35" s="8" t="n">
        <v>1737314</v>
      </c>
    </row>
    <row r="36" customFormat="false" ht="14.65" hidden="false" customHeight="false" outlineLevel="0" collapsed="false">
      <c r="A36" s="5" t="s">
        <v>97</v>
      </c>
      <c r="B36" s="2" t="n">
        <v>12595</v>
      </c>
      <c r="C36" s="2" t="n">
        <v>38445</v>
      </c>
      <c r="D36" s="2" t="n">
        <v>51040</v>
      </c>
      <c r="E36" s="2" t="n">
        <v>244</v>
      </c>
      <c r="F36" s="2" t="n">
        <v>1285</v>
      </c>
      <c r="G36" s="2" t="n">
        <v>1529</v>
      </c>
      <c r="H36" s="2" t="n">
        <v>19318</v>
      </c>
      <c r="I36" s="2" t="n">
        <v>52728</v>
      </c>
      <c r="J36" s="2" t="n">
        <v>72046</v>
      </c>
      <c r="K36" s="2" t="n">
        <v>3279</v>
      </c>
      <c r="L36" s="2" t="n">
        <v>25233</v>
      </c>
      <c r="M36" s="2" t="n">
        <v>28512</v>
      </c>
      <c r="N36" s="2" t="n">
        <v>31913</v>
      </c>
      <c r="O36" s="2" t="n">
        <v>91173</v>
      </c>
      <c r="P36" s="2" t="n">
        <v>123086</v>
      </c>
      <c r="Q36" s="2" t="n">
        <v>3523</v>
      </c>
      <c r="R36" s="2" t="n">
        <v>26518</v>
      </c>
      <c r="S36" s="2" t="n">
        <v>30041</v>
      </c>
      <c r="T36" s="2" t="n">
        <v>531</v>
      </c>
      <c r="U36" s="2" t="n">
        <f aca="false">+V36-T36</f>
        <v>84378</v>
      </c>
      <c r="V36" s="2" t="n">
        <v>84909</v>
      </c>
      <c r="W36" s="2" t="n">
        <v>40</v>
      </c>
      <c r="X36" s="2" t="n">
        <v>0</v>
      </c>
      <c r="Y36" s="2" t="n">
        <f aca="false">+Z36-W36-X36</f>
        <v>86687</v>
      </c>
      <c r="Z36" s="2" t="n">
        <v>86727</v>
      </c>
      <c r="AA36" s="2" t="n">
        <v>3</v>
      </c>
      <c r="AB36" s="2" t="n">
        <v>37</v>
      </c>
      <c r="AC36" s="2" t="n">
        <v>0</v>
      </c>
      <c r="AD36" s="2" t="n">
        <v>531</v>
      </c>
      <c r="AE36" s="6" t="n">
        <v>64.6</v>
      </c>
      <c r="AF36" s="6" t="n">
        <v>21.1</v>
      </c>
      <c r="AG36" s="6" t="n">
        <f aca="false">100-AE36-AF36</f>
        <v>14.3</v>
      </c>
      <c r="AH36" s="6" t="n">
        <v>73.3</v>
      </c>
      <c r="AI36" s="6" t="n">
        <v>19.6</v>
      </c>
      <c r="AJ36" s="6" t="n">
        <f aca="false">100-AH36-AI36</f>
        <v>7.1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2" t="n">
        <v>1012</v>
      </c>
      <c r="AR36" s="2" t="n">
        <v>3485</v>
      </c>
      <c r="AS36" s="2" t="n">
        <v>4497</v>
      </c>
      <c r="AT36" s="2" t="n">
        <v>188</v>
      </c>
      <c r="AU36" s="2" t="n">
        <v>0</v>
      </c>
      <c r="AV36" s="2" t="n">
        <v>1387</v>
      </c>
      <c r="AW36" s="2" t="n">
        <v>1575</v>
      </c>
      <c r="AX36" s="8" t="n">
        <v>93070</v>
      </c>
      <c r="AY36" s="8" t="n">
        <v>45587</v>
      </c>
      <c r="AZ36" s="8" t="n">
        <v>15</v>
      </c>
      <c r="BA36" s="8" t="n">
        <v>138672</v>
      </c>
      <c r="BB36" s="9" t="n">
        <v>34178</v>
      </c>
      <c r="BC36" s="8" t="n">
        <v>50244</v>
      </c>
      <c r="BD36" s="8" t="n">
        <v>2185</v>
      </c>
      <c r="BE36" s="8" t="n">
        <v>86607</v>
      </c>
      <c r="BF36" s="9" t="n">
        <v>20627</v>
      </c>
      <c r="BG36" s="8" t="n">
        <v>15228</v>
      </c>
      <c r="BH36" s="8" t="n">
        <v>6931</v>
      </c>
      <c r="BI36" s="8" t="n">
        <v>13499</v>
      </c>
      <c r="BJ36" s="8" t="n">
        <v>281564</v>
      </c>
    </row>
    <row r="37" customFormat="false" ht="14.65" hidden="false" customHeight="false" outlineLevel="0" collapsed="false">
      <c r="A37" s="5" t="s">
        <v>98</v>
      </c>
      <c r="B37" s="2" t="n">
        <v>221034</v>
      </c>
      <c r="C37" s="2" t="n">
        <v>317734</v>
      </c>
      <c r="D37" s="2" t="n">
        <v>538768</v>
      </c>
      <c r="E37" s="2" t="n">
        <v>18514</v>
      </c>
      <c r="F37" s="2" t="n">
        <v>67884</v>
      </c>
      <c r="G37" s="2" t="n">
        <v>86398</v>
      </c>
      <c r="H37" s="2" t="n">
        <v>87218</v>
      </c>
      <c r="I37" s="2" t="n">
        <v>196244</v>
      </c>
      <c r="J37" s="2" t="n">
        <v>283462</v>
      </c>
      <c r="K37" s="2" t="n">
        <v>27324</v>
      </c>
      <c r="L37" s="2" t="n">
        <v>285261</v>
      </c>
      <c r="M37" s="2" t="n">
        <v>312585</v>
      </c>
      <c r="N37" s="2" t="n">
        <v>308252</v>
      </c>
      <c r="O37" s="2" t="n">
        <v>513978</v>
      </c>
      <c r="P37" s="2" t="n">
        <v>822230</v>
      </c>
      <c r="Q37" s="2" t="n">
        <v>45838</v>
      </c>
      <c r="R37" s="2" t="n">
        <v>353145</v>
      </c>
      <c r="S37" s="2" t="n">
        <v>398983</v>
      </c>
      <c r="T37" s="2" t="n">
        <v>847</v>
      </c>
      <c r="U37" s="2" t="n">
        <f aca="false">+V37-T37</f>
        <v>81408</v>
      </c>
      <c r="V37" s="2" t="n">
        <v>82255</v>
      </c>
      <c r="W37" s="2" t="n">
        <v>726</v>
      </c>
      <c r="X37" s="2" t="n">
        <v>381</v>
      </c>
      <c r="Y37" s="2" t="n">
        <f aca="false">+Z37-W37-X37</f>
        <v>112716</v>
      </c>
      <c r="Z37" s="2" t="n">
        <v>113823</v>
      </c>
      <c r="AA37" s="2" t="n">
        <v>212</v>
      </c>
      <c r="AB37" s="2" t="n">
        <v>514</v>
      </c>
      <c r="AC37" s="2" t="n">
        <v>15</v>
      </c>
      <c r="AD37" s="2" t="n">
        <v>832</v>
      </c>
      <c r="AE37" s="6" t="n">
        <v>67.2</v>
      </c>
      <c r="AF37" s="6" t="n">
        <v>12.6</v>
      </c>
      <c r="AG37" s="6" t="n">
        <f aca="false">100-AE37-AF37</f>
        <v>20.2</v>
      </c>
      <c r="AH37" s="6" t="n">
        <v>79.7</v>
      </c>
      <c r="AI37" s="6" t="n">
        <v>12.2</v>
      </c>
      <c r="AJ37" s="6" t="n">
        <f aca="false">100-AH37-AI37</f>
        <v>8.1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1</v>
      </c>
      <c r="AP37" s="7" t="n">
        <v>0</v>
      </c>
      <c r="AQ37" s="2" t="n">
        <v>8276</v>
      </c>
      <c r="AR37" s="2" t="n">
        <v>29153</v>
      </c>
      <c r="AS37" s="2" t="n">
        <v>37429</v>
      </c>
      <c r="AT37" s="2" t="n">
        <v>15929</v>
      </c>
      <c r="AU37" s="2" t="n">
        <v>3608</v>
      </c>
      <c r="AV37" s="2" t="n">
        <v>38255</v>
      </c>
      <c r="AW37" s="2" t="n">
        <v>57792</v>
      </c>
      <c r="AX37" s="8" t="n">
        <v>679950</v>
      </c>
      <c r="AY37" s="8" t="n">
        <v>401989</v>
      </c>
      <c r="AZ37" s="8" t="n">
        <v>211</v>
      </c>
      <c r="BA37" s="8" t="n">
        <v>1082150</v>
      </c>
      <c r="BB37" s="9" t="n">
        <v>460687</v>
      </c>
      <c r="BC37" s="8" t="n">
        <v>504058</v>
      </c>
      <c r="BD37" s="8" t="n">
        <v>23</v>
      </c>
      <c r="BE37" s="8" t="n">
        <v>964768</v>
      </c>
      <c r="BF37" s="9" t="n">
        <v>335689</v>
      </c>
      <c r="BG37" s="8" t="n">
        <v>213155</v>
      </c>
      <c r="BH37" s="8" t="n">
        <v>51708</v>
      </c>
      <c r="BI37" s="8" t="n">
        <v>109564</v>
      </c>
      <c r="BJ37" s="8" t="n">
        <v>2757034</v>
      </c>
    </row>
    <row r="38" customFormat="false" ht="14.65" hidden="false" customHeight="false" outlineLevel="0" collapsed="false">
      <c r="A38" s="10" t="s">
        <v>99</v>
      </c>
      <c r="B38" s="2" t="n">
        <v>49705</v>
      </c>
      <c r="C38" s="2" t="n">
        <v>155221</v>
      </c>
      <c r="D38" s="2" t="n">
        <v>204926</v>
      </c>
      <c r="E38" s="2" t="n">
        <v>2411</v>
      </c>
      <c r="F38" s="2" t="n">
        <v>5119</v>
      </c>
      <c r="G38" s="2" t="n">
        <v>7530</v>
      </c>
      <c r="H38" s="2" t="n">
        <v>13592</v>
      </c>
      <c r="I38" s="2" t="n">
        <v>114963</v>
      </c>
      <c r="J38" s="2" t="n">
        <v>128555</v>
      </c>
      <c r="K38" s="2" t="n">
        <v>3148</v>
      </c>
      <c r="L38" s="2" t="n">
        <v>74386</v>
      </c>
      <c r="M38" s="2" t="n">
        <v>77534</v>
      </c>
      <c r="N38" s="2" t="n">
        <v>63297</v>
      </c>
      <c r="O38" s="2" t="n">
        <v>270184</v>
      </c>
      <c r="P38" s="2" t="n">
        <v>333481</v>
      </c>
      <c r="Q38" s="2" t="n">
        <v>5559</v>
      </c>
      <c r="R38" s="2" t="n">
        <v>79505</v>
      </c>
      <c r="S38" s="2" t="n">
        <v>85064</v>
      </c>
      <c r="T38" s="2" t="n">
        <v>715</v>
      </c>
      <c r="U38" s="2" t="n">
        <f aca="false">+V38-T38</f>
        <v>98958</v>
      </c>
      <c r="V38" s="2" t="n">
        <v>99673</v>
      </c>
      <c r="W38" s="2" t="n">
        <v>214</v>
      </c>
      <c r="X38" s="2" t="n">
        <v>136</v>
      </c>
      <c r="Y38" s="2" t="n">
        <f aca="false">+Z38-W38-X38</f>
        <v>112117</v>
      </c>
      <c r="Z38" s="2" t="n">
        <v>112467</v>
      </c>
      <c r="AA38" s="2" t="n">
        <v>72</v>
      </c>
      <c r="AB38" s="2" t="n">
        <v>142</v>
      </c>
      <c r="AC38" s="2" t="n">
        <v>0</v>
      </c>
      <c r="AD38" s="2" t="n">
        <v>715</v>
      </c>
      <c r="AE38" s="6" t="n">
        <f aca="false">+AE18</f>
        <v>62.8</v>
      </c>
      <c r="AF38" s="6" t="n">
        <f aca="false">+AF18</f>
        <v>18</v>
      </c>
      <c r="AG38" s="6" t="n">
        <f aca="false">+AG18</f>
        <v>19.2</v>
      </c>
      <c r="AH38" s="6" t="n">
        <f aca="false">+AH18</f>
        <v>69.1</v>
      </c>
      <c r="AI38" s="6" t="n">
        <f aca="false">+AI18</f>
        <v>25.5</v>
      </c>
      <c r="AJ38" s="6" t="n">
        <f aca="false">+AJ18</f>
        <v>5.40000000000001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2" t="n">
        <v>3705</v>
      </c>
      <c r="AR38" s="2" t="n">
        <v>13662</v>
      </c>
      <c r="AS38" s="2" t="n">
        <v>17367</v>
      </c>
      <c r="AT38" s="2" t="n">
        <v>3365</v>
      </c>
      <c r="AU38" s="2" t="n">
        <v>1831</v>
      </c>
      <c r="AV38" s="2" t="n">
        <v>12556</v>
      </c>
      <c r="AW38" s="2" t="n">
        <v>17752</v>
      </c>
      <c r="AX38" s="11" t="n">
        <v>320609</v>
      </c>
      <c r="AY38" s="11" t="n">
        <v>113422</v>
      </c>
      <c r="AZ38" s="11" t="n">
        <v>4000</v>
      </c>
      <c r="BA38" s="11" t="n">
        <v>438031</v>
      </c>
      <c r="BB38" s="12" t="n">
        <v>88492</v>
      </c>
      <c r="BC38" s="11" t="n">
        <v>117914</v>
      </c>
      <c r="BD38" s="11" t="n">
        <v>17</v>
      </c>
      <c r="BE38" s="11" t="n">
        <v>206423</v>
      </c>
      <c r="BF38" s="12" t="n">
        <v>191811</v>
      </c>
      <c r="BG38" s="11" t="n">
        <v>41384</v>
      </c>
      <c r="BH38" s="11" t="n">
        <v>56248</v>
      </c>
      <c r="BI38" s="11" t="n">
        <v>85638</v>
      </c>
      <c r="BJ38" s="11" t="n">
        <v>1019535</v>
      </c>
    </row>
    <row r="39" customFormat="false" ht="14.65" hidden="false" customHeight="false" outlineLevel="0" collapsed="false">
      <c r="A39" s="5" t="s">
        <v>100</v>
      </c>
      <c r="B39" s="2" t="n">
        <v>20270</v>
      </c>
      <c r="C39" s="2" t="n">
        <v>141847</v>
      </c>
      <c r="D39" s="2" t="n">
        <v>162117</v>
      </c>
      <c r="E39" s="2" t="n">
        <v>9788</v>
      </c>
      <c r="F39" s="2" t="n">
        <v>49226</v>
      </c>
      <c r="G39" s="2" t="n">
        <v>59014</v>
      </c>
      <c r="H39" s="2" t="n">
        <v>36947</v>
      </c>
      <c r="I39" s="2" t="n">
        <v>118079</v>
      </c>
      <c r="J39" s="2" t="n">
        <v>155026</v>
      </c>
      <c r="K39" s="2" t="n">
        <v>18564</v>
      </c>
      <c r="L39" s="2" t="n">
        <v>59139</v>
      </c>
      <c r="M39" s="2" t="n">
        <v>77703</v>
      </c>
      <c r="N39" s="2" t="n">
        <v>57217</v>
      </c>
      <c r="O39" s="2" t="n">
        <v>259926</v>
      </c>
      <c r="P39" s="2" t="n">
        <v>317143</v>
      </c>
      <c r="Q39" s="2" t="n">
        <v>28352</v>
      </c>
      <c r="R39" s="2" t="n">
        <v>108365</v>
      </c>
      <c r="S39" s="2" t="n">
        <v>136717</v>
      </c>
      <c r="T39" s="2" t="n">
        <v>581</v>
      </c>
      <c r="U39" s="2" t="n">
        <f aca="false">+V39-T39</f>
        <v>85427</v>
      </c>
      <c r="V39" s="2" t="n">
        <v>86008</v>
      </c>
      <c r="W39" s="2" t="n">
        <v>146</v>
      </c>
      <c r="X39" s="2" t="n">
        <v>53</v>
      </c>
      <c r="Y39" s="2" t="n">
        <f aca="false">+Z39-W39-X39</f>
        <v>95837</v>
      </c>
      <c r="Z39" s="2" t="n">
        <v>96036</v>
      </c>
      <c r="AA39" s="2" t="n">
        <v>58</v>
      </c>
      <c r="AB39" s="2" t="n">
        <v>88</v>
      </c>
      <c r="AC39" s="2" t="n">
        <v>21</v>
      </c>
      <c r="AD39" s="2" t="n">
        <v>560</v>
      </c>
      <c r="AE39" s="6" t="n">
        <v>54.3</v>
      </c>
      <c r="AF39" s="6" t="n">
        <v>29.5</v>
      </c>
      <c r="AG39" s="6" t="n">
        <f aca="false">100-AE39-AF39</f>
        <v>16.2</v>
      </c>
      <c r="AH39" s="6" t="n">
        <v>65.5</v>
      </c>
      <c r="AI39" s="6" t="n">
        <v>28.9</v>
      </c>
      <c r="AJ39" s="6" t="n">
        <f aca="false">100-AH39-AI39</f>
        <v>5.6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2" t="n">
        <v>3812</v>
      </c>
      <c r="AR39" s="2" t="n">
        <v>11724</v>
      </c>
      <c r="AS39" s="2" t="n">
        <v>15536</v>
      </c>
      <c r="AT39" s="2" t="n">
        <v>2966</v>
      </c>
      <c r="AU39" s="2" t="n">
        <v>971</v>
      </c>
      <c r="AV39" s="2" t="n">
        <v>8453</v>
      </c>
      <c r="AW39" s="2" t="n">
        <v>12390</v>
      </c>
      <c r="AX39" s="8" t="n">
        <v>335881</v>
      </c>
      <c r="AY39" s="8" t="n">
        <v>201205</v>
      </c>
      <c r="AZ39" s="8" t="n">
        <v>10798</v>
      </c>
      <c r="BA39" s="8" t="n">
        <v>547884</v>
      </c>
      <c r="BB39" s="9" t="n">
        <v>120773</v>
      </c>
      <c r="BC39" s="8" t="n">
        <v>168155</v>
      </c>
      <c r="BD39" s="8" t="n">
        <v>7523</v>
      </c>
      <c r="BE39" s="8" t="n">
        <v>296451</v>
      </c>
      <c r="BF39" s="9" t="n">
        <v>64501</v>
      </c>
      <c r="BG39" s="8" t="n">
        <v>73433</v>
      </c>
      <c r="BH39" s="8" t="n">
        <v>14067</v>
      </c>
      <c r="BI39" s="8" t="n">
        <v>24162</v>
      </c>
      <c r="BJ39" s="8" t="n">
        <v>1020498</v>
      </c>
    </row>
    <row r="40" customFormat="false" ht="14.65" hidden="false" customHeight="false" outlineLevel="0" collapsed="false">
      <c r="A40" s="5" t="s">
        <v>101</v>
      </c>
      <c r="B40" s="2" t="n">
        <v>315428</v>
      </c>
      <c r="C40" s="2" t="n">
        <v>409182</v>
      </c>
      <c r="D40" s="2" t="n">
        <v>724610</v>
      </c>
      <c r="E40" s="2" t="n">
        <v>12640</v>
      </c>
      <c r="F40" s="2" t="n">
        <v>342892</v>
      </c>
      <c r="G40" s="2" t="n">
        <v>355532</v>
      </c>
      <c r="H40" s="2" t="n">
        <v>295404</v>
      </c>
      <c r="I40" s="2" t="n">
        <v>265133</v>
      </c>
      <c r="J40" s="2" t="n">
        <v>560537</v>
      </c>
      <c r="K40" s="2" t="n">
        <v>43941</v>
      </c>
      <c r="L40" s="2" t="n">
        <v>124571</v>
      </c>
      <c r="M40" s="2" t="n">
        <v>168512</v>
      </c>
      <c r="N40" s="2" t="n">
        <v>610832</v>
      </c>
      <c r="O40" s="2" t="n">
        <v>674315</v>
      </c>
      <c r="P40" s="2" t="n">
        <v>1285147</v>
      </c>
      <c r="Q40" s="2" t="n">
        <v>56581</v>
      </c>
      <c r="R40" s="2" t="n">
        <v>467463</v>
      </c>
      <c r="S40" s="2" t="n">
        <v>524044</v>
      </c>
      <c r="T40" s="2" t="n">
        <v>1079</v>
      </c>
      <c r="U40" s="2" t="n">
        <f aca="false">+V40-T40</f>
        <v>83343</v>
      </c>
      <c r="V40" s="2" t="n">
        <v>84422</v>
      </c>
      <c r="W40" s="2" t="n">
        <v>509</v>
      </c>
      <c r="X40" s="2" t="n">
        <v>485</v>
      </c>
      <c r="Y40" s="2" t="n">
        <f aca="false">+Z40-W40-X40</f>
        <v>116044</v>
      </c>
      <c r="Z40" s="2" t="n">
        <v>117038</v>
      </c>
      <c r="AA40" s="2" t="n">
        <v>111</v>
      </c>
      <c r="AB40" s="2" t="n">
        <v>398</v>
      </c>
      <c r="AC40" s="2" t="n">
        <v>18</v>
      </c>
      <c r="AD40" s="2" t="n">
        <v>1061</v>
      </c>
      <c r="AE40" s="6" t="n">
        <v>60.5</v>
      </c>
      <c r="AF40" s="6" t="n">
        <v>16.5</v>
      </c>
      <c r="AG40" s="6" t="n">
        <f aca="false">100-AE40-AF40</f>
        <v>23</v>
      </c>
      <c r="AH40" s="6" t="n">
        <v>73.8</v>
      </c>
      <c r="AI40" s="6" t="n">
        <v>16.2</v>
      </c>
      <c r="AJ40" s="6" t="n">
        <f aca="false">100-AH40-AI40</f>
        <v>10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1</v>
      </c>
      <c r="AQ40" s="2" t="n">
        <v>7381</v>
      </c>
      <c r="AR40" s="2" t="n">
        <v>29968</v>
      </c>
      <c r="AS40" s="2" t="n">
        <v>37349</v>
      </c>
      <c r="AT40" s="2" t="n">
        <v>8839</v>
      </c>
      <c r="AU40" s="2" t="n">
        <v>4656</v>
      </c>
      <c r="AV40" s="2" t="n">
        <v>38356</v>
      </c>
      <c r="AW40" s="2" t="n">
        <v>51851</v>
      </c>
      <c r="AX40" s="8" t="n">
        <v>1223271</v>
      </c>
      <c r="AY40" s="8" t="n">
        <v>125258</v>
      </c>
      <c r="AZ40" s="8" t="n">
        <v>268</v>
      </c>
      <c r="BA40" s="8" t="n">
        <v>1348797</v>
      </c>
      <c r="BB40" s="9" t="n">
        <v>764351</v>
      </c>
      <c r="BC40" s="8" t="n">
        <v>744656</v>
      </c>
      <c r="BD40" s="8" t="n">
        <v>85</v>
      </c>
      <c r="BE40" s="8" t="n">
        <v>1509092</v>
      </c>
      <c r="BF40" s="9" t="n">
        <v>152494</v>
      </c>
      <c r="BG40" s="8" t="n">
        <v>443935</v>
      </c>
      <c r="BH40" s="8" t="n">
        <v>190151</v>
      </c>
      <c r="BI40" s="8" t="n">
        <v>225189</v>
      </c>
      <c r="BJ40" s="8" t="n">
        <v>3869658</v>
      </c>
    </row>
    <row r="41" customFormat="false" ht="14.65" hidden="false" customHeight="false" outlineLevel="0" collapsed="false">
      <c r="A41" s="5" t="s">
        <v>102</v>
      </c>
      <c r="B41" s="2" t="n">
        <v>24216</v>
      </c>
      <c r="C41" s="2" t="n">
        <v>172300</v>
      </c>
      <c r="D41" s="2" t="n">
        <v>196516</v>
      </c>
      <c r="E41" s="2" t="n">
        <v>4785</v>
      </c>
      <c r="F41" s="2" t="n">
        <v>16366</v>
      </c>
      <c r="G41" s="2" t="n">
        <v>21151</v>
      </c>
      <c r="H41" s="2" t="n">
        <v>4734</v>
      </c>
      <c r="I41" s="2" t="n">
        <v>20313</v>
      </c>
      <c r="J41" s="2" t="n">
        <v>25047</v>
      </c>
      <c r="K41" s="2" t="n">
        <v>2051</v>
      </c>
      <c r="L41" s="2" t="n">
        <v>4680</v>
      </c>
      <c r="M41" s="2" t="n">
        <v>6731</v>
      </c>
      <c r="N41" s="2" t="n">
        <v>28950</v>
      </c>
      <c r="O41" s="2" t="n">
        <v>192613</v>
      </c>
      <c r="P41" s="2" t="n">
        <v>221563</v>
      </c>
      <c r="Q41" s="2" t="n">
        <v>6836</v>
      </c>
      <c r="R41" s="2" t="n">
        <v>21046</v>
      </c>
      <c r="S41" s="2" t="n">
        <v>27882</v>
      </c>
      <c r="T41" s="2" t="n">
        <v>21</v>
      </c>
      <c r="U41" s="2" t="n">
        <f aca="false">+V41-T41</f>
        <v>1313</v>
      </c>
      <c r="V41" s="2" t="n">
        <v>1334</v>
      </c>
      <c r="W41" s="2" t="n">
        <v>49</v>
      </c>
      <c r="X41" s="2" t="n">
        <v>68</v>
      </c>
      <c r="Y41" s="2" t="n">
        <f aca="false">+Z41-W41-X41</f>
        <v>5940</v>
      </c>
      <c r="Z41" s="2" t="n">
        <v>6057</v>
      </c>
      <c r="AA41" s="2" t="n">
        <v>33</v>
      </c>
      <c r="AB41" s="2" t="n">
        <v>16</v>
      </c>
      <c r="AC41" s="2" t="n">
        <v>0</v>
      </c>
      <c r="AD41" s="2" t="n">
        <v>21</v>
      </c>
      <c r="AE41" s="6" t="n">
        <v>74.8</v>
      </c>
      <c r="AF41" s="6" t="n">
        <v>16.9</v>
      </c>
      <c r="AG41" s="6" t="n">
        <f aca="false">100-AE41-AF41</f>
        <v>8.3</v>
      </c>
      <c r="AH41" s="6" t="n">
        <v>79.9</v>
      </c>
      <c r="AI41" s="6" t="n">
        <v>14</v>
      </c>
      <c r="AJ41" s="6" t="n">
        <f aca="false">100-AH41-AI41</f>
        <v>6.09999999999999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1</v>
      </c>
      <c r="AQ41" s="2" t="n">
        <v>278</v>
      </c>
      <c r="AR41" s="2" t="n">
        <v>851</v>
      </c>
      <c r="AS41" s="2" t="n">
        <v>1129</v>
      </c>
      <c r="AT41" s="2" t="n">
        <v>1407</v>
      </c>
      <c r="AU41" s="2" t="n">
        <v>601</v>
      </c>
      <c r="AV41" s="2" t="n">
        <v>4422</v>
      </c>
      <c r="AW41" s="2" t="n">
        <v>6430</v>
      </c>
      <c r="AX41" s="8" t="n">
        <v>136323</v>
      </c>
      <c r="AY41" s="8" t="n">
        <v>4040</v>
      </c>
      <c r="AZ41" s="8" t="n">
        <v>0</v>
      </c>
      <c r="BA41" s="8" t="n">
        <v>140363</v>
      </c>
      <c r="BB41" s="9" t="n">
        <v>23710</v>
      </c>
      <c r="BC41" s="8" t="n">
        <v>17136</v>
      </c>
      <c r="BD41" s="8" t="n">
        <v>6</v>
      </c>
      <c r="BE41" s="8" t="n">
        <v>40852</v>
      </c>
      <c r="BF41" s="9" t="n">
        <v>9798</v>
      </c>
      <c r="BG41" s="8" t="n">
        <v>28023</v>
      </c>
      <c r="BH41" s="8" t="n">
        <v>14684</v>
      </c>
      <c r="BI41" s="8" t="n">
        <v>19770</v>
      </c>
      <c r="BJ41" s="8" t="n">
        <v>253490</v>
      </c>
    </row>
    <row r="42" customFormat="false" ht="14.65" hidden="false" customHeight="false" outlineLevel="0" collapsed="false">
      <c r="A42" s="10" t="s">
        <v>103</v>
      </c>
      <c r="B42" s="2" t="n">
        <v>32565</v>
      </c>
      <c r="C42" s="2" t="n">
        <v>150992</v>
      </c>
      <c r="D42" s="2" t="n">
        <v>183557</v>
      </c>
      <c r="E42" s="2" t="n">
        <v>85</v>
      </c>
      <c r="F42" s="2" t="n">
        <v>111198</v>
      </c>
      <c r="G42" s="2" t="n">
        <v>111283</v>
      </c>
      <c r="H42" s="2" t="n">
        <v>25330</v>
      </c>
      <c r="I42" s="2" t="n">
        <v>198089</v>
      </c>
      <c r="J42" s="2" t="n">
        <v>223419</v>
      </c>
      <c r="K42" s="2" t="n">
        <v>0</v>
      </c>
      <c r="L42" s="2" t="n">
        <v>15895</v>
      </c>
      <c r="M42" s="2" t="n">
        <v>15895</v>
      </c>
      <c r="N42" s="2" t="n">
        <v>57895</v>
      </c>
      <c r="O42" s="2" t="n">
        <v>349081</v>
      </c>
      <c r="P42" s="2" t="n">
        <v>406976</v>
      </c>
      <c r="Q42" s="2" t="n">
        <v>85</v>
      </c>
      <c r="R42" s="2" t="n">
        <v>127093</v>
      </c>
      <c r="S42" s="2" t="n">
        <v>127178</v>
      </c>
      <c r="T42" s="2" t="n">
        <v>668</v>
      </c>
      <c r="U42" s="2" t="n">
        <f aca="false">+V42-T42</f>
        <v>52969</v>
      </c>
      <c r="V42" s="2" t="n">
        <v>53637</v>
      </c>
      <c r="W42" s="2" t="n">
        <v>142</v>
      </c>
      <c r="X42" s="2" t="n">
        <v>70</v>
      </c>
      <c r="Y42" s="2" t="n">
        <f aca="false">+Z42-W42-X42</f>
        <v>63946</v>
      </c>
      <c r="Z42" s="2" t="n">
        <v>64158</v>
      </c>
      <c r="AA42" s="2" t="n">
        <v>51</v>
      </c>
      <c r="AB42" s="2" t="n">
        <v>91</v>
      </c>
      <c r="AC42" s="2" t="n">
        <v>16</v>
      </c>
      <c r="AD42" s="2" t="n">
        <v>652</v>
      </c>
      <c r="AE42" s="6" t="n">
        <v>70.6</v>
      </c>
      <c r="AF42" s="6" t="n">
        <v>10.6</v>
      </c>
      <c r="AG42" s="6" t="n">
        <f aca="false">100-AE42-AF42</f>
        <v>18.8</v>
      </c>
      <c r="AH42" s="6" t="n">
        <v>76.6</v>
      </c>
      <c r="AI42" s="6" t="n">
        <v>12.1</v>
      </c>
      <c r="AJ42" s="6" t="n">
        <f aca="false">100-AH42-AI42</f>
        <v>11.3</v>
      </c>
      <c r="AK42" s="7" t="n">
        <v>0</v>
      </c>
      <c r="AL42" s="7" t="n">
        <v>0</v>
      </c>
      <c r="AM42" s="7" t="n">
        <v>0</v>
      </c>
      <c r="AN42" s="7" t="n">
        <v>1</v>
      </c>
      <c r="AO42" s="7" t="n">
        <v>0</v>
      </c>
      <c r="AP42" s="7" t="n">
        <v>0</v>
      </c>
      <c r="AQ42" s="2" t="n">
        <v>5945</v>
      </c>
      <c r="AR42" s="2" t="n">
        <v>15168</v>
      </c>
      <c r="AS42" s="2" t="n">
        <v>21113</v>
      </c>
      <c r="AT42" s="2" t="n">
        <v>2427</v>
      </c>
      <c r="AU42" s="2" t="n">
        <v>589</v>
      </c>
      <c r="AV42" s="2" t="n">
        <v>10920</v>
      </c>
      <c r="AW42" s="2" t="n">
        <v>13936</v>
      </c>
      <c r="AX42" s="11" t="n">
        <v>332967</v>
      </c>
      <c r="AY42" s="11" t="n">
        <v>31128</v>
      </c>
      <c r="AZ42" s="11" t="n">
        <v>28</v>
      </c>
      <c r="BA42" s="11" t="n">
        <v>364123</v>
      </c>
      <c r="BB42" s="12" t="n">
        <v>156266</v>
      </c>
      <c r="BC42" s="11" t="n">
        <v>43893</v>
      </c>
      <c r="BD42" s="11" t="n">
        <v>40</v>
      </c>
      <c r="BE42" s="11" t="n">
        <v>200199</v>
      </c>
      <c r="BF42" s="12" t="n">
        <v>52696</v>
      </c>
      <c r="BG42" s="11" t="n">
        <v>86404</v>
      </c>
      <c r="BH42" s="11" t="n">
        <v>917</v>
      </c>
      <c r="BI42" s="11" t="n">
        <v>824</v>
      </c>
      <c r="BJ42" s="11" t="n">
        <v>705163</v>
      </c>
    </row>
    <row r="43" customFormat="false" ht="14.65" hidden="false" customHeight="false" outlineLevel="0" collapsed="false">
      <c r="A43" s="5" t="s">
        <v>104</v>
      </c>
      <c r="B43" s="2" t="n">
        <v>8696</v>
      </c>
      <c r="C43" s="2" t="n">
        <v>46384</v>
      </c>
      <c r="D43" s="2" t="n">
        <v>55080</v>
      </c>
      <c r="E43" s="2" t="n">
        <v>648</v>
      </c>
      <c r="F43" s="2" t="n">
        <v>1537</v>
      </c>
      <c r="G43" s="2" t="n">
        <v>2185</v>
      </c>
      <c r="H43" s="2" t="n">
        <v>22248</v>
      </c>
      <c r="I43" s="2" t="n">
        <v>111723</v>
      </c>
      <c r="J43" s="2" t="n">
        <v>133971</v>
      </c>
      <c r="K43" s="2" t="n">
        <v>5088</v>
      </c>
      <c r="L43" s="2" t="n">
        <v>24580</v>
      </c>
      <c r="M43" s="2" t="n">
        <v>29668</v>
      </c>
      <c r="N43" s="2" t="n">
        <v>30944</v>
      </c>
      <c r="O43" s="2" t="n">
        <v>158107</v>
      </c>
      <c r="P43" s="2" t="n">
        <v>189051</v>
      </c>
      <c r="Q43" s="2" t="n">
        <v>5736</v>
      </c>
      <c r="R43" s="2" t="n">
        <v>26117</v>
      </c>
      <c r="S43" s="2" t="n">
        <v>31853</v>
      </c>
      <c r="T43" s="2" t="n">
        <v>631</v>
      </c>
      <c r="U43" s="2" t="n">
        <f aca="false">+V43-T43</f>
        <v>80814</v>
      </c>
      <c r="V43" s="2" t="n">
        <v>81445</v>
      </c>
      <c r="W43" s="2" t="n">
        <v>47</v>
      </c>
      <c r="X43" s="2" t="n">
        <v>3</v>
      </c>
      <c r="Y43" s="2" t="n">
        <f aca="false">+Z43-W43-X43</f>
        <v>83255</v>
      </c>
      <c r="Z43" s="2" t="n">
        <v>83305</v>
      </c>
      <c r="AA43" s="2" t="n">
        <v>0</v>
      </c>
      <c r="AB43" s="2" t="n">
        <v>47</v>
      </c>
      <c r="AC43" s="2" t="n">
        <v>0</v>
      </c>
      <c r="AD43" s="2" t="n">
        <v>631</v>
      </c>
      <c r="AE43" s="6" t="n">
        <v>72.9</v>
      </c>
      <c r="AF43" s="6" t="n">
        <v>16.4</v>
      </c>
      <c r="AG43" s="6" t="n">
        <f aca="false">100-AE43-AF43</f>
        <v>10.7</v>
      </c>
      <c r="AH43" s="6" t="n">
        <v>80.6</v>
      </c>
      <c r="AI43" s="6" t="n">
        <v>16.9</v>
      </c>
      <c r="AJ43" s="6" t="n">
        <f aca="false">100-AH43-AI43</f>
        <v>2.50000000000001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2" t="n">
        <v>1354</v>
      </c>
      <c r="AR43" s="2" t="n">
        <v>4324</v>
      </c>
      <c r="AS43" s="2" t="n">
        <v>5678</v>
      </c>
      <c r="AT43" s="2" t="n">
        <v>229</v>
      </c>
      <c r="AU43" s="2" t="n">
        <v>17</v>
      </c>
      <c r="AV43" s="2" t="n">
        <v>1294</v>
      </c>
      <c r="AW43" s="2" t="n">
        <v>1540</v>
      </c>
      <c r="AX43" s="8" t="n">
        <v>159816</v>
      </c>
      <c r="AY43" s="8" t="n">
        <v>68946</v>
      </c>
      <c r="AZ43" s="8" t="n">
        <v>1516</v>
      </c>
      <c r="BA43" s="8" t="n">
        <v>230278</v>
      </c>
      <c r="BB43" s="9" t="n">
        <v>33371</v>
      </c>
      <c r="BC43" s="8" t="n">
        <v>68300</v>
      </c>
      <c r="BD43" s="8" t="n">
        <v>3757</v>
      </c>
      <c r="BE43" s="8" t="n">
        <v>105428</v>
      </c>
      <c r="BF43" s="9" t="n">
        <v>21403</v>
      </c>
      <c r="BG43" s="8" t="n">
        <v>30636</v>
      </c>
      <c r="BH43" s="8" t="n">
        <v>843</v>
      </c>
      <c r="BI43" s="8" t="n">
        <v>1813</v>
      </c>
      <c r="BJ43" s="8" t="n">
        <v>390401</v>
      </c>
    </row>
    <row r="44" customFormat="false" ht="14.65" hidden="false" customHeight="false" outlineLevel="0" collapsed="false">
      <c r="A44" s="5" t="s">
        <v>105</v>
      </c>
      <c r="B44" s="2" t="n">
        <v>79292</v>
      </c>
      <c r="C44" s="2" t="n">
        <v>109327</v>
      </c>
      <c r="D44" s="2" t="n">
        <v>188619</v>
      </c>
      <c r="E44" s="2" t="n">
        <v>18005</v>
      </c>
      <c r="F44" s="2" t="n">
        <v>27009</v>
      </c>
      <c r="G44" s="2" t="n">
        <v>45014</v>
      </c>
      <c r="H44" s="2" t="n">
        <v>37419</v>
      </c>
      <c r="I44" s="2" t="n">
        <v>343240</v>
      </c>
      <c r="J44" s="2" t="n">
        <v>380659</v>
      </c>
      <c r="K44" s="2" t="n">
        <v>27008</v>
      </c>
      <c r="L44" s="2" t="n">
        <v>108025</v>
      </c>
      <c r="M44" s="2" t="n">
        <v>135033</v>
      </c>
      <c r="N44" s="2" t="n">
        <v>116711</v>
      </c>
      <c r="O44" s="2" t="n">
        <v>452567</v>
      </c>
      <c r="P44" s="2" t="n">
        <v>569278</v>
      </c>
      <c r="Q44" s="2" t="n">
        <v>45013</v>
      </c>
      <c r="R44" s="2" t="n">
        <v>135034</v>
      </c>
      <c r="S44" s="2" t="n">
        <v>180047</v>
      </c>
      <c r="T44" s="2" t="n">
        <v>740</v>
      </c>
      <c r="U44" s="2" t="n">
        <f aca="false">+V44-T44</f>
        <v>67776</v>
      </c>
      <c r="V44" s="2" t="n">
        <v>68516</v>
      </c>
      <c r="W44" s="2" t="n">
        <v>322</v>
      </c>
      <c r="X44" s="2" t="n">
        <v>114</v>
      </c>
      <c r="Y44" s="2" t="n">
        <f aca="false">+Z44-W44-X44</f>
        <v>84601</v>
      </c>
      <c r="Z44" s="2" t="n">
        <v>85037</v>
      </c>
      <c r="AA44" s="2" t="n">
        <v>141</v>
      </c>
      <c r="AB44" s="2" t="n">
        <v>181</v>
      </c>
      <c r="AC44" s="2" t="n">
        <v>25</v>
      </c>
      <c r="AD44" s="2" t="n">
        <v>715</v>
      </c>
      <c r="AE44" s="6" t="n">
        <v>65</v>
      </c>
      <c r="AF44" s="6" t="n">
        <v>13.9</v>
      </c>
      <c r="AG44" s="6" t="n">
        <f aca="false">100-AE44-AF44</f>
        <v>21.1</v>
      </c>
      <c r="AH44" s="6" t="n">
        <v>69.9</v>
      </c>
      <c r="AI44" s="6" t="n">
        <v>20.5</v>
      </c>
      <c r="AJ44" s="6" t="n">
        <f aca="false">100-AH44-AI44</f>
        <v>9.59999999999999</v>
      </c>
      <c r="AK44" s="7" t="n">
        <v>0</v>
      </c>
      <c r="AL44" s="7" t="n">
        <v>0</v>
      </c>
      <c r="AM44" s="7" t="n">
        <v>0</v>
      </c>
      <c r="AN44" s="7" t="n">
        <v>1</v>
      </c>
      <c r="AO44" s="7" t="n">
        <v>0</v>
      </c>
      <c r="AP44" s="7" t="n">
        <v>0</v>
      </c>
      <c r="AQ44" s="2" t="n">
        <v>6603</v>
      </c>
      <c r="AR44" s="2" t="n">
        <v>15998</v>
      </c>
      <c r="AS44" s="2" t="n">
        <v>22601</v>
      </c>
      <c r="AT44" s="2" t="n">
        <v>6473</v>
      </c>
      <c r="AU44" s="2" t="n">
        <v>871</v>
      </c>
      <c r="AV44" s="2" t="n">
        <v>20049</v>
      </c>
      <c r="AW44" s="2" t="n">
        <v>27393</v>
      </c>
      <c r="AX44" s="8" t="n">
        <v>613158</v>
      </c>
      <c r="AY44" s="8" t="n">
        <v>106790</v>
      </c>
      <c r="AZ44" s="8" t="n">
        <v>5777</v>
      </c>
      <c r="BA44" s="8" t="n">
        <v>725725</v>
      </c>
      <c r="BB44" s="9" t="n">
        <v>192392</v>
      </c>
      <c r="BC44" s="8" t="n">
        <v>225319</v>
      </c>
      <c r="BD44" s="8" t="n">
        <v>70</v>
      </c>
      <c r="BE44" s="8" t="n">
        <v>417781</v>
      </c>
      <c r="BF44" s="9" t="n">
        <v>84136</v>
      </c>
      <c r="BG44" s="8" t="n">
        <v>59239</v>
      </c>
      <c r="BH44" s="8" t="n">
        <v>6057</v>
      </c>
      <c r="BI44" s="8" t="n">
        <v>16894</v>
      </c>
      <c r="BJ44" s="8" t="n">
        <v>1309832</v>
      </c>
    </row>
    <row r="45" customFormat="false" ht="14.65" hidden="false" customHeight="false" outlineLevel="0" collapsed="false">
      <c r="A45" s="5" t="s">
        <v>106</v>
      </c>
      <c r="B45" s="2" t="n">
        <v>299955</v>
      </c>
      <c r="C45" s="2" t="n">
        <v>715039</v>
      </c>
      <c r="D45" s="2" t="n">
        <v>1014994</v>
      </c>
      <c r="E45" s="2" t="n">
        <v>34146</v>
      </c>
      <c r="F45" s="2" t="n">
        <v>107606</v>
      </c>
      <c r="G45" s="2" t="n">
        <v>141752</v>
      </c>
      <c r="H45" s="2" t="n">
        <v>156428</v>
      </c>
      <c r="I45" s="2" t="n">
        <v>807390</v>
      </c>
      <c r="J45" s="2" t="n">
        <v>963818</v>
      </c>
      <c r="K45" s="2" t="n">
        <v>162540</v>
      </c>
      <c r="L45" s="2" t="n">
        <v>355502</v>
      </c>
      <c r="M45" s="2" t="n">
        <v>518042</v>
      </c>
      <c r="N45" s="2" t="n">
        <v>456383</v>
      </c>
      <c r="O45" s="2" t="n">
        <v>1522429</v>
      </c>
      <c r="P45" s="2" t="n">
        <v>1978812</v>
      </c>
      <c r="Q45" s="2" t="n">
        <v>196686</v>
      </c>
      <c r="R45" s="2" t="n">
        <v>463108</v>
      </c>
      <c r="S45" s="2" t="n">
        <v>659794</v>
      </c>
      <c r="T45" s="2" t="n">
        <v>2203</v>
      </c>
      <c r="U45" s="2" t="n">
        <f aca="false">+V45-T45</f>
        <v>212807</v>
      </c>
      <c r="V45" s="2" t="n">
        <v>215010</v>
      </c>
      <c r="W45" s="2" t="n">
        <v>1031</v>
      </c>
      <c r="X45" s="2" t="n">
        <v>1212</v>
      </c>
      <c r="Y45" s="2" t="n">
        <f aca="false">+Z45-W45-X45</f>
        <v>291899</v>
      </c>
      <c r="Z45" s="2" t="n">
        <v>294142</v>
      </c>
      <c r="AA45" s="2" t="n">
        <v>555</v>
      </c>
      <c r="AB45" s="2" t="n">
        <v>476</v>
      </c>
      <c r="AC45" s="2" t="n">
        <v>45</v>
      </c>
      <c r="AD45" s="2" t="n">
        <v>2158</v>
      </c>
      <c r="AE45" s="6" t="n">
        <v>60.5</v>
      </c>
      <c r="AF45" s="6" t="n">
        <v>20.4</v>
      </c>
      <c r="AG45" s="6" t="n">
        <f aca="false">100-AE45-AF45</f>
        <v>19.1</v>
      </c>
      <c r="AH45" s="6" t="n">
        <v>73.2</v>
      </c>
      <c r="AI45" s="6" t="n">
        <v>19.8</v>
      </c>
      <c r="AJ45" s="6" t="n">
        <f aca="false">100-AH45-AI45</f>
        <v>7</v>
      </c>
      <c r="AK45" s="7" t="n">
        <v>0</v>
      </c>
      <c r="AL45" s="7" t="n">
        <v>0</v>
      </c>
      <c r="AM45" s="7" t="n">
        <v>0</v>
      </c>
      <c r="AN45" s="7" t="n">
        <v>1</v>
      </c>
      <c r="AO45" s="7" t="n">
        <v>0</v>
      </c>
      <c r="AP45" s="7" t="n">
        <v>0</v>
      </c>
      <c r="AQ45" s="2" t="n">
        <v>12612</v>
      </c>
      <c r="AR45" s="2" t="n">
        <v>44556</v>
      </c>
      <c r="AS45" s="2" t="n">
        <v>57168</v>
      </c>
      <c r="AT45" s="2" t="n">
        <v>23998</v>
      </c>
      <c r="AU45" s="2" t="n">
        <v>15234</v>
      </c>
      <c r="AV45" s="2" t="n">
        <v>66929</v>
      </c>
      <c r="AW45" s="2" t="n">
        <v>106161</v>
      </c>
      <c r="AX45" s="8" t="n">
        <v>1701015</v>
      </c>
      <c r="AY45" s="8" t="n">
        <v>578592</v>
      </c>
      <c r="AZ45" s="8" t="n">
        <v>3282</v>
      </c>
      <c r="BA45" s="8" t="n">
        <v>2282889</v>
      </c>
      <c r="BB45" s="9" t="n">
        <v>564131</v>
      </c>
      <c r="BC45" s="8" t="n">
        <v>898897</v>
      </c>
      <c r="BD45" s="8" t="n">
        <v>67</v>
      </c>
      <c r="BE45" s="8" t="n">
        <v>1463095</v>
      </c>
      <c r="BF45" s="9" t="n">
        <v>473048</v>
      </c>
      <c r="BG45" s="8" t="n">
        <v>804375</v>
      </c>
      <c r="BH45" s="8" t="n">
        <v>351868</v>
      </c>
      <c r="BI45" s="8" t="n">
        <v>246617</v>
      </c>
      <c r="BJ45" s="8" t="n">
        <v>5621892</v>
      </c>
    </row>
    <row r="46" customFormat="false" ht="14.65" hidden="false" customHeight="false" outlineLevel="0" collapsed="false">
      <c r="A46" s="10" t="s">
        <v>107</v>
      </c>
      <c r="B46" s="2" t="n">
        <v>47041</v>
      </c>
      <c r="C46" s="2" t="n">
        <v>69962</v>
      </c>
      <c r="D46" s="2" t="n">
        <v>117003</v>
      </c>
      <c r="E46" s="2" t="n">
        <v>13300</v>
      </c>
      <c r="F46" s="2" t="n">
        <v>11140</v>
      </c>
      <c r="G46" s="2" t="n">
        <v>24440</v>
      </c>
      <c r="H46" s="2" t="n">
        <v>36446</v>
      </c>
      <c r="I46" s="2" t="n">
        <v>77545</v>
      </c>
      <c r="J46" s="2" t="n">
        <v>113991</v>
      </c>
      <c r="K46" s="2" t="n">
        <v>12500</v>
      </c>
      <c r="L46" s="2" t="n">
        <v>20560</v>
      </c>
      <c r="M46" s="2" t="n">
        <v>33060</v>
      </c>
      <c r="N46" s="2" t="n">
        <v>83487</v>
      </c>
      <c r="O46" s="2" t="n">
        <v>147507</v>
      </c>
      <c r="P46" s="2" t="n">
        <v>230994</v>
      </c>
      <c r="Q46" s="2" t="n">
        <v>25800</v>
      </c>
      <c r="R46" s="2" t="n">
        <v>31700</v>
      </c>
      <c r="S46" s="2" t="n">
        <v>57500</v>
      </c>
      <c r="T46" s="2" t="n">
        <v>769</v>
      </c>
      <c r="U46" s="2" t="n">
        <f aca="false">+V46-T46</f>
        <v>33633</v>
      </c>
      <c r="V46" s="2" t="n">
        <v>34402</v>
      </c>
      <c r="W46" s="2" t="n">
        <v>168</v>
      </c>
      <c r="X46" s="2" t="n">
        <v>9</v>
      </c>
      <c r="Y46" s="2" t="n">
        <f aca="false">+Z46-W46-X46</f>
        <v>40331</v>
      </c>
      <c r="Z46" s="2" t="n">
        <v>40508</v>
      </c>
      <c r="AA46" s="2" t="n">
        <v>111</v>
      </c>
      <c r="AB46" s="2" t="n">
        <v>57</v>
      </c>
      <c r="AC46" s="2" t="n">
        <v>17</v>
      </c>
      <c r="AD46" s="2" t="n">
        <v>752</v>
      </c>
      <c r="AE46" s="6" t="n">
        <v>60.6</v>
      </c>
      <c r="AF46" s="6" t="n">
        <v>21.6</v>
      </c>
      <c r="AG46" s="6" t="n">
        <f aca="false">100-AE46-AF46</f>
        <v>17.8</v>
      </c>
      <c r="AH46" s="6" t="n">
        <v>73.6</v>
      </c>
      <c r="AI46" s="6" t="n">
        <v>20.7</v>
      </c>
      <c r="AJ46" s="6" t="n">
        <f aca="false">100-AH46-AI46</f>
        <v>5.70000000000001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2" t="n">
        <v>2309</v>
      </c>
      <c r="AR46" s="2" t="n">
        <v>3633</v>
      </c>
      <c r="AS46" s="2" t="n">
        <v>5942</v>
      </c>
      <c r="AT46" s="2" t="n">
        <v>3321</v>
      </c>
      <c r="AU46" s="2" t="n">
        <v>90</v>
      </c>
      <c r="AV46" s="2" t="n">
        <v>6954</v>
      </c>
      <c r="AW46" s="2" t="n">
        <v>10365</v>
      </c>
      <c r="AX46" s="11" t="n">
        <v>182428</v>
      </c>
      <c r="AY46" s="11" t="n">
        <v>68600</v>
      </c>
      <c r="AZ46" s="11" t="n">
        <v>5782</v>
      </c>
      <c r="BA46" s="11" t="n">
        <v>256810</v>
      </c>
      <c r="BB46" s="12" t="n">
        <v>59893</v>
      </c>
      <c r="BC46" s="11" t="n">
        <v>72110</v>
      </c>
      <c r="BD46" s="11" t="n">
        <v>1471</v>
      </c>
      <c r="BE46" s="11" t="n">
        <v>133474</v>
      </c>
      <c r="BF46" s="12" t="n">
        <v>40831</v>
      </c>
      <c r="BG46" s="11" t="n">
        <v>33745</v>
      </c>
      <c r="BH46" s="11" t="n">
        <v>0</v>
      </c>
      <c r="BI46" s="11" t="n">
        <v>0</v>
      </c>
      <c r="BJ46" s="11" t="n">
        <v>464860</v>
      </c>
    </row>
    <row r="47" customFormat="false" ht="14.65" hidden="false" customHeight="false" outlineLevel="0" collapsed="false">
      <c r="A47" s="5" t="s">
        <v>108</v>
      </c>
      <c r="B47" s="2" t="n">
        <v>1240</v>
      </c>
      <c r="C47" s="2" t="n">
        <v>46248</v>
      </c>
      <c r="D47" s="2" t="n">
        <v>47488</v>
      </c>
      <c r="E47" s="2" t="n">
        <v>195</v>
      </c>
      <c r="F47" s="2" t="n">
        <v>743</v>
      </c>
      <c r="G47" s="2" t="n">
        <v>938</v>
      </c>
      <c r="H47" s="2" t="n">
        <v>13511</v>
      </c>
      <c r="I47" s="2" t="n">
        <v>48863</v>
      </c>
      <c r="J47" s="2" t="n">
        <v>62374</v>
      </c>
      <c r="K47" s="2" t="n">
        <v>1432</v>
      </c>
      <c r="L47" s="2" t="n">
        <v>7378</v>
      </c>
      <c r="M47" s="2" t="n">
        <v>8810</v>
      </c>
      <c r="N47" s="2" t="n">
        <v>14751</v>
      </c>
      <c r="O47" s="2" t="n">
        <v>95111</v>
      </c>
      <c r="P47" s="2" t="n">
        <v>109862</v>
      </c>
      <c r="Q47" s="2" t="n">
        <v>1627</v>
      </c>
      <c r="R47" s="2" t="n">
        <v>8121</v>
      </c>
      <c r="S47" s="2" t="n">
        <v>9748</v>
      </c>
      <c r="T47" s="2" t="n">
        <v>280</v>
      </c>
      <c r="U47" s="2" t="n">
        <f aca="false">+V47-T47</f>
        <v>12562</v>
      </c>
      <c r="V47" s="2" t="n">
        <v>12842</v>
      </c>
      <c r="W47" s="2" t="n">
        <v>40</v>
      </c>
      <c r="X47" s="2" t="n">
        <v>20</v>
      </c>
      <c r="Y47" s="2" t="n">
        <f aca="false">+Z47-W47-X47</f>
        <v>14106</v>
      </c>
      <c r="Z47" s="2" t="n">
        <v>14166</v>
      </c>
      <c r="AA47" s="2" t="n">
        <v>0</v>
      </c>
      <c r="AB47" s="2" t="n">
        <v>40</v>
      </c>
      <c r="AC47" s="2" t="n">
        <v>0</v>
      </c>
      <c r="AD47" s="2" t="n">
        <v>280</v>
      </c>
      <c r="AE47" s="6" t="n">
        <v>80.1</v>
      </c>
      <c r="AF47" s="6" t="n">
        <v>14.8</v>
      </c>
      <c r="AG47" s="6" t="n">
        <f aca="false">100-AE47-AF47</f>
        <v>5.10000000000001</v>
      </c>
      <c r="AH47" s="6" t="n">
        <v>79.7</v>
      </c>
      <c r="AI47" s="6" t="n">
        <v>16</v>
      </c>
      <c r="AJ47" s="6" t="n">
        <f aca="false">100-AH47-AI47</f>
        <v>4.3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1</v>
      </c>
      <c r="AQ47" s="2" t="n">
        <v>1011</v>
      </c>
      <c r="AR47" s="2" t="n">
        <v>3304</v>
      </c>
      <c r="AS47" s="2" t="n">
        <v>4315</v>
      </c>
      <c r="AT47" s="2" t="n">
        <v>284</v>
      </c>
      <c r="AU47" s="2" t="n">
        <v>51</v>
      </c>
      <c r="AV47" s="2" t="n">
        <v>1369</v>
      </c>
      <c r="AW47" s="2" t="n">
        <v>1704</v>
      </c>
      <c r="AX47" s="8" t="n">
        <v>87148</v>
      </c>
      <c r="AY47" s="8" t="n">
        <v>36942</v>
      </c>
      <c r="AZ47" s="8" t="n">
        <v>0</v>
      </c>
      <c r="BA47" s="8" t="n">
        <v>124090</v>
      </c>
      <c r="BB47" s="9" t="n">
        <v>36024</v>
      </c>
      <c r="BC47" s="8" t="n">
        <v>54112</v>
      </c>
      <c r="BD47" s="8" t="n">
        <v>15</v>
      </c>
      <c r="BE47" s="8" t="n">
        <v>90151</v>
      </c>
      <c r="BF47" s="9" t="n">
        <v>15067</v>
      </c>
      <c r="BG47" s="8" t="n">
        <v>21072</v>
      </c>
      <c r="BH47" s="8" t="n">
        <v>2015</v>
      </c>
      <c r="BI47" s="8" t="n">
        <v>5990</v>
      </c>
      <c r="BJ47" s="8" t="n">
        <v>258385</v>
      </c>
    </row>
    <row r="48" customFormat="false" ht="14.65" hidden="false" customHeight="false" outlineLevel="0" collapsed="false">
      <c r="A48" s="5" t="s">
        <v>109</v>
      </c>
      <c r="B48" s="2" t="n">
        <v>60013</v>
      </c>
      <c r="C48" s="2" t="n">
        <v>336862</v>
      </c>
      <c r="D48" s="2" t="n">
        <v>396875</v>
      </c>
      <c r="E48" s="2" t="n">
        <v>34331</v>
      </c>
      <c r="F48" s="2" t="n">
        <v>171618</v>
      </c>
      <c r="G48" s="2" t="n">
        <v>205949</v>
      </c>
      <c r="H48" s="2" t="n">
        <v>46316</v>
      </c>
      <c r="I48" s="2" t="n">
        <v>182575</v>
      </c>
      <c r="J48" s="2" t="n">
        <v>228891</v>
      </c>
      <c r="K48" s="2" t="n">
        <v>66071</v>
      </c>
      <c r="L48" s="2" t="n">
        <v>157167</v>
      </c>
      <c r="M48" s="2" t="n">
        <v>223238</v>
      </c>
      <c r="N48" s="2" t="n">
        <v>106329</v>
      </c>
      <c r="O48" s="2" t="n">
        <v>519437</v>
      </c>
      <c r="P48" s="2" t="n">
        <v>625766</v>
      </c>
      <c r="Q48" s="2" t="n">
        <v>100402</v>
      </c>
      <c r="R48" s="2" t="n">
        <v>328785</v>
      </c>
      <c r="S48" s="2" t="n">
        <v>429187</v>
      </c>
      <c r="T48" s="2" t="n">
        <v>788</v>
      </c>
      <c r="U48" s="2" t="n">
        <f aca="false">+V48-T48</f>
        <v>52060</v>
      </c>
      <c r="V48" s="2" t="n">
        <v>52848</v>
      </c>
      <c r="W48" s="2" t="n">
        <v>318</v>
      </c>
      <c r="X48" s="2" t="n">
        <v>194</v>
      </c>
      <c r="Y48" s="2" t="n">
        <f aca="false">+Z48-W48-X48</f>
        <v>67917</v>
      </c>
      <c r="Z48" s="2" t="n">
        <v>68429</v>
      </c>
      <c r="AA48" s="2" t="n">
        <v>138</v>
      </c>
      <c r="AB48" s="2" t="n">
        <v>180</v>
      </c>
      <c r="AC48" s="2" t="n">
        <v>118</v>
      </c>
      <c r="AD48" s="2" t="n">
        <v>670</v>
      </c>
      <c r="AE48" s="6" t="n">
        <v>68.8</v>
      </c>
      <c r="AF48" s="6" t="n">
        <v>16.6</v>
      </c>
      <c r="AG48" s="6" t="n">
        <f aca="false">100-AE48-AF48</f>
        <v>14.6</v>
      </c>
      <c r="AH48" s="6" t="n">
        <v>78.1</v>
      </c>
      <c r="AI48" s="6" t="n">
        <v>16.6</v>
      </c>
      <c r="AJ48" s="6" t="n">
        <f aca="false">100-AH48-AI48</f>
        <v>5.3</v>
      </c>
      <c r="AK48" s="7" t="n">
        <v>0</v>
      </c>
      <c r="AL48" s="7" t="n">
        <v>0</v>
      </c>
      <c r="AM48" s="7" t="n">
        <v>0</v>
      </c>
      <c r="AN48" s="7" t="n">
        <v>1</v>
      </c>
      <c r="AO48" s="7" t="n">
        <v>0</v>
      </c>
      <c r="AP48" s="7" t="n">
        <v>0</v>
      </c>
      <c r="AQ48" s="2" t="n">
        <v>7511</v>
      </c>
      <c r="AR48" s="2" t="n">
        <v>22259</v>
      </c>
      <c r="AS48" s="2" t="n">
        <v>29770</v>
      </c>
      <c r="AT48" s="2" t="n">
        <v>8174</v>
      </c>
      <c r="AU48" s="2" t="n">
        <v>2263</v>
      </c>
      <c r="AV48" s="2" t="n">
        <v>23240</v>
      </c>
      <c r="AW48" s="2" t="n">
        <v>33677</v>
      </c>
      <c r="AX48" s="8" t="n">
        <v>649972</v>
      </c>
      <c r="AY48" s="8" t="n">
        <v>202473</v>
      </c>
      <c r="AZ48" s="8" t="n">
        <v>8895</v>
      </c>
      <c r="BA48" s="8" t="n">
        <v>861340</v>
      </c>
      <c r="BB48" s="9" t="n">
        <v>468402</v>
      </c>
      <c r="BC48" s="8" t="n">
        <v>187345</v>
      </c>
      <c r="BD48" s="8" t="n">
        <v>30</v>
      </c>
      <c r="BE48" s="8" t="n">
        <v>655777</v>
      </c>
      <c r="BF48" s="9" t="n">
        <v>143235</v>
      </c>
      <c r="BG48" s="8" t="n">
        <v>168008</v>
      </c>
      <c r="BH48" s="8" t="n">
        <v>99058</v>
      </c>
      <c r="BI48" s="8" t="n">
        <v>190483</v>
      </c>
      <c r="BJ48" s="8" t="n">
        <v>2117901</v>
      </c>
    </row>
    <row r="49" customFormat="false" ht="14.65" hidden="false" customHeight="false" outlineLevel="0" collapsed="false">
      <c r="A49" s="5" t="s">
        <v>110</v>
      </c>
      <c r="B49" s="2" t="n">
        <v>222494</v>
      </c>
      <c r="C49" s="2" t="n">
        <v>192792</v>
      </c>
      <c r="D49" s="2" t="n">
        <v>415286</v>
      </c>
      <c r="E49" s="2" t="n">
        <v>9553</v>
      </c>
      <c r="F49" s="2" t="n">
        <v>21089</v>
      </c>
      <c r="G49" s="2" t="n">
        <v>30642</v>
      </c>
      <c r="H49" s="2" t="n">
        <v>26177</v>
      </c>
      <c r="I49" s="2" t="n">
        <v>234796</v>
      </c>
      <c r="J49" s="2" t="n">
        <v>260973</v>
      </c>
      <c r="K49" s="2" t="n">
        <v>7031</v>
      </c>
      <c r="L49" s="2" t="n">
        <v>26629</v>
      </c>
      <c r="M49" s="2" t="n">
        <v>33660</v>
      </c>
      <c r="N49" s="2" t="n">
        <v>248671</v>
      </c>
      <c r="O49" s="2" t="n">
        <v>427588</v>
      </c>
      <c r="P49" s="2" t="n">
        <v>676259</v>
      </c>
      <c r="Q49" s="2" t="n">
        <v>16584</v>
      </c>
      <c r="R49" s="2" t="n">
        <v>47718</v>
      </c>
      <c r="S49" s="2" t="n">
        <v>64302</v>
      </c>
      <c r="T49" s="2" t="n">
        <v>501</v>
      </c>
      <c r="U49" s="2" t="n">
        <f aca="false">+V49-T49</f>
        <v>61709</v>
      </c>
      <c r="V49" s="2" t="n">
        <v>62210</v>
      </c>
      <c r="W49" s="2" t="n">
        <v>262</v>
      </c>
      <c r="X49" s="2" t="n">
        <v>302</v>
      </c>
      <c r="Y49" s="2" t="n">
        <f aca="false">+Z49-W49-X49</f>
        <v>78864</v>
      </c>
      <c r="Z49" s="2" t="n">
        <v>79428</v>
      </c>
      <c r="AA49" s="2" t="n">
        <v>158</v>
      </c>
      <c r="AB49" s="2" t="n">
        <v>104</v>
      </c>
      <c r="AC49" s="2" t="n">
        <v>96</v>
      </c>
      <c r="AD49" s="2" t="n">
        <v>405</v>
      </c>
      <c r="AE49" s="6" t="n">
        <v>64.9</v>
      </c>
      <c r="AF49" s="6" t="n">
        <v>24.6</v>
      </c>
      <c r="AG49" s="6" t="n">
        <f aca="false">100-AE49-AF49</f>
        <v>10.5</v>
      </c>
      <c r="AH49" s="6" t="n">
        <v>70</v>
      </c>
      <c r="AI49" s="6" t="n">
        <v>25.6</v>
      </c>
      <c r="AJ49" s="6" t="n">
        <f aca="false">100-AH49-AI49</f>
        <v>4.4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2" t="n">
        <v>3563</v>
      </c>
      <c r="AR49" s="2" t="n">
        <v>13129</v>
      </c>
      <c r="AS49" s="2" t="n">
        <v>16692</v>
      </c>
      <c r="AT49" s="2" t="n">
        <v>8350</v>
      </c>
      <c r="AU49" s="2" t="n">
        <v>3841</v>
      </c>
      <c r="AV49" s="2" t="n">
        <v>20503</v>
      </c>
      <c r="AW49" s="2" t="n">
        <v>32694</v>
      </c>
      <c r="AX49" s="8" t="n">
        <v>501683</v>
      </c>
      <c r="AY49" s="8" t="n">
        <v>332102</v>
      </c>
      <c r="AZ49" s="8" t="n">
        <v>3923</v>
      </c>
      <c r="BA49" s="8" t="n">
        <v>837708</v>
      </c>
      <c r="BB49" s="9" t="n">
        <v>193795</v>
      </c>
      <c r="BC49" s="8" t="n">
        <v>267382</v>
      </c>
      <c r="BD49" s="8" t="n">
        <v>2431</v>
      </c>
      <c r="BE49" s="8" t="n">
        <v>463608</v>
      </c>
      <c r="BF49" s="9" t="n">
        <v>239299</v>
      </c>
      <c r="BG49" s="8" t="n">
        <v>173064</v>
      </c>
      <c r="BH49" s="8" t="n">
        <v>72751</v>
      </c>
      <c r="BI49" s="8" t="n">
        <v>95899</v>
      </c>
      <c r="BJ49" s="8" t="n">
        <v>1882329</v>
      </c>
    </row>
    <row r="50" customFormat="false" ht="14.65" hidden="false" customHeight="false" outlineLevel="0" collapsed="false">
      <c r="A50" s="10" t="s">
        <v>111</v>
      </c>
      <c r="B50" s="2" t="n">
        <v>18925</v>
      </c>
      <c r="C50" s="2" t="n">
        <v>120989</v>
      </c>
      <c r="D50" s="2" t="n">
        <v>139914</v>
      </c>
      <c r="E50" s="2" t="n">
        <v>5204</v>
      </c>
      <c r="F50" s="2" t="n">
        <v>59219</v>
      </c>
      <c r="G50" s="2" t="n">
        <v>64423</v>
      </c>
      <c r="H50" s="2" t="n">
        <v>37245</v>
      </c>
      <c r="I50" s="2" t="n">
        <v>290280</v>
      </c>
      <c r="J50" s="2" t="n">
        <v>327525</v>
      </c>
      <c r="K50" s="2" t="n">
        <v>15215</v>
      </c>
      <c r="L50" s="2" t="n">
        <v>65377</v>
      </c>
      <c r="M50" s="2" t="n">
        <v>80592</v>
      </c>
      <c r="N50" s="2" t="n">
        <v>56170</v>
      </c>
      <c r="O50" s="2" t="n">
        <v>411269</v>
      </c>
      <c r="P50" s="2" t="n">
        <v>467439</v>
      </c>
      <c r="Q50" s="2" t="n">
        <v>20419</v>
      </c>
      <c r="R50" s="2" t="n">
        <v>124596</v>
      </c>
      <c r="S50" s="2" t="n">
        <v>145015</v>
      </c>
      <c r="T50" s="2" t="n">
        <v>456</v>
      </c>
      <c r="U50" s="2" t="n">
        <f aca="false">+V50-T50</f>
        <v>31452</v>
      </c>
      <c r="V50" s="2" t="n">
        <v>31908</v>
      </c>
      <c r="W50" s="2" t="n">
        <v>94</v>
      </c>
      <c r="X50" s="2" t="n">
        <v>9</v>
      </c>
      <c r="Y50" s="2" t="n">
        <f aca="false">+Z50-W50-X50</f>
        <v>34942</v>
      </c>
      <c r="Z50" s="2" t="n">
        <v>35045</v>
      </c>
      <c r="AA50" s="2" t="n">
        <v>9</v>
      </c>
      <c r="AB50" s="2" t="n">
        <v>85</v>
      </c>
      <c r="AC50" s="2" t="n">
        <v>23</v>
      </c>
      <c r="AD50" s="2" t="n">
        <v>433</v>
      </c>
      <c r="AE50" s="6" t="n">
        <v>70.1</v>
      </c>
      <c r="AF50" s="6" t="n">
        <v>12.9</v>
      </c>
      <c r="AG50" s="6" t="n">
        <f aca="false">100-AE50-AF50</f>
        <v>17</v>
      </c>
      <c r="AH50" s="6" t="n">
        <v>72.9</v>
      </c>
      <c r="AI50" s="6" t="n">
        <v>15</v>
      </c>
      <c r="AJ50" s="6" t="n">
        <f aca="false">100-AH50-AI50</f>
        <v>12.1</v>
      </c>
      <c r="AK50" s="7" t="n">
        <v>0</v>
      </c>
      <c r="AL50" s="7" t="n">
        <v>0</v>
      </c>
      <c r="AM50" s="7" t="n">
        <v>0</v>
      </c>
      <c r="AN50" s="7" t="n">
        <v>1</v>
      </c>
      <c r="AO50" s="7" t="n">
        <v>0</v>
      </c>
      <c r="AP50" s="7" t="n">
        <v>0</v>
      </c>
      <c r="AQ50" s="2" t="n">
        <v>2979</v>
      </c>
      <c r="AR50" s="2" t="n">
        <v>8853</v>
      </c>
      <c r="AS50" s="2" t="n">
        <v>11832</v>
      </c>
      <c r="AT50" s="2" t="n">
        <v>1169</v>
      </c>
      <c r="AU50" s="2" t="n">
        <v>414</v>
      </c>
      <c r="AV50" s="2" t="n">
        <v>3063</v>
      </c>
      <c r="AW50" s="2" t="n">
        <v>4646</v>
      </c>
      <c r="AX50" s="11" t="n">
        <v>356770</v>
      </c>
      <c r="AY50" s="11" t="n">
        <v>13858</v>
      </c>
      <c r="AZ50" s="11" t="n">
        <v>134</v>
      </c>
      <c r="BA50" s="11" t="n">
        <v>370762</v>
      </c>
      <c r="BB50" s="12" t="n">
        <v>161301</v>
      </c>
      <c r="BC50" s="11" t="n">
        <v>48540</v>
      </c>
      <c r="BD50" s="11" t="n">
        <v>41</v>
      </c>
      <c r="BE50" s="11" t="n">
        <v>209882</v>
      </c>
      <c r="BF50" s="12" t="n">
        <v>31528</v>
      </c>
      <c r="BG50" s="11" t="n">
        <v>38247</v>
      </c>
      <c r="BH50" s="11" t="n">
        <v>29209</v>
      </c>
      <c r="BI50" s="11" t="n">
        <v>41355</v>
      </c>
      <c r="BJ50" s="11" t="n">
        <v>720983</v>
      </c>
    </row>
    <row r="51" customFormat="false" ht="14.65" hidden="false" customHeight="false" outlineLevel="0" collapsed="false">
      <c r="A51" s="5" t="s">
        <v>112</v>
      </c>
      <c r="B51" s="2" t="n">
        <v>26875</v>
      </c>
      <c r="C51" s="2" t="n">
        <v>205270</v>
      </c>
      <c r="D51" s="2" t="n">
        <v>232145</v>
      </c>
      <c r="E51" s="2" t="n">
        <v>1390</v>
      </c>
      <c r="F51" s="2" t="n">
        <v>9528</v>
      </c>
      <c r="G51" s="2" t="n">
        <v>10918</v>
      </c>
      <c r="H51" s="2" t="n">
        <v>36422</v>
      </c>
      <c r="I51" s="2" t="n">
        <v>381434</v>
      </c>
      <c r="J51" s="2" t="n">
        <v>417856</v>
      </c>
      <c r="K51" s="2" t="n">
        <v>4988</v>
      </c>
      <c r="L51" s="2" t="n">
        <v>57700</v>
      </c>
      <c r="M51" s="2" t="n">
        <v>62688</v>
      </c>
      <c r="N51" s="2" t="n">
        <v>63297</v>
      </c>
      <c r="O51" s="2" t="n">
        <v>586704</v>
      </c>
      <c r="P51" s="2" t="n">
        <v>650001</v>
      </c>
      <c r="Q51" s="2" t="n">
        <v>6378</v>
      </c>
      <c r="R51" s="2" t="n">
        <v>67228</v>
      </c>
      <c r="S51" s="2" t="n">
        <v>73606</v>
      </c>
      <c r="T51" s="2" t="n">
        <v>495</v>
      </c>
      <c r="U51" s="2" t="n">
        <f aca="false">+V51-T51</f>
        <v>94892</v>
      </c>
      <c r="V51" s="2" t="n">
        <v>95387</v>
      </c>
      <c r="W51" s="2" t="n">
        <v>143</v>
      </c>
      <c r="X51" s="2" t="n">
        <v>178</v>
      </c>
      <c r="Y51" s="2" t="n">
        <f aca="false">+Z51-W51-X51</f>
        <v>110657</v>
      </c>
      <c r="Z51" s="2" t="n">
        <v>110978</v>
      </c>
      <c r="AA51" s="2" t="n">
        <v>56</v>
      </c>
      <c r="AB51" s="2" t="n">
        <v>87</v>
      </c>
      <c r="AC51" s="2" t="n">
        <v>50</v>
      </c>
      <c r="AD51" s="2" t="n">
        <v>445</v>
      </c>
      <c r="AE51" s="6" t="n">
        <v>77</v>
      </c>
      <c r="AF51" s="6" t="n">
        <v>9.7</v>
      </c>
      <c r="AG51" s="6" t="n">
        <f aca="false">100-AE51-AF51</f>
        <v>13.3</v>
      </c>
      <c r="AH51" s="6" t="n">
        <v>76.5</v>
      </c>
      <c r="AI51" s="6" t="n">
        <v>14.2</v>
      </c>
      <c r="AJ51" s="6" t="n">
        <f aca="false">100-AH51-AI51</f>
        <v>9.3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1</v>
      </c>
      <c r="AP51" s="7" t="n">
        <v>0</v>
      </c>
      <c r="AQ51" s="2" t="n">
        <v>4236</v>
      </c>
      <c r="AR51" s="2" t="n">
        <v>20781</v>
      </c>
      <c r="AS51" s="2" t="n">
        <v>25017</v>
      </c>
      <c r="AT51" s="2" t="n">
        <v>2988</v>
      </c>
      <c r="AU51" s="2" t="n">
        <v>2216</v>
      </c>
      <c r="AV51" s="2" t="n">
        <v>17407</v>
      </c>
      <c r="AW51" s="2" t="n">
        <v>22611</v>
      </c>
      <c r="AX51" s="8" t="n">
        <v>626822</v>
      </c>
      <c r="AY51" s="8" t="n">
        <v>384652</v>
      </c>
      <c r="AZ51" s="8" t="n">
        <v>1</v>
      </c>
      <c r="BA51" s="8" t="n">
        <v>1011475</v>
      </c>
      <c r="BB51" s="9" t="n">
        <v>116788</v>
      </c>
      <c r="BC51" s="8" t="n">
        <v>423045</v>
      </c>
      <c r="BD51" s="8" t="n">
        <v>1569</v>
      </c>
      <c r="BE51" s="8" t="n">
        <v>541402</v>
      </c>
      <c r="BF51" s="9" t="n">
        <v>128447</v>
      </c>
      <c r="BG51" s="8" t="n">
        <v>261228</v>
      </c>
      <c r="BH51" s="8" t="n">
        <v>72021</v>
      </c>
      <c r="BI51" s="8" t="n">
        <v>135877</v>
      </c>
      <c r="BJ51" s="8" t="n">
        <v>2150450</v>
      </c>
    </row>
    <row r="52" customFormat="false" ht="14.65" hidden="false" customHeight="false" outlineLevel="0" collapsed="false">
      <c r="A52" s="5" t="s">
        <v>113</v>
      </c>
      <c r="B52" s="2" t="n">
        <v>2778</v>
      </c>
      <c r="C52" s="2" t="n">
        <v>22867</v>
      </c>
      <c r="D52" s="2" t="n">
        <v>25645</v>
      </c>
      <c r="E52" s="2" t="n">
        <v>791</v>
      </c>
      <c r="F52" s="2" t="n">
        <v>1731</v>
      </c>
      <c r="G52" s="2" t="n">
        <v>2522</v>
      </c>
      <c r="H52" s="2" t="n">
        <v>39675</v>
      </c>
      <c r="I52" s="2" t="n">
        <v>93466</v>
      </c>
      <c r="J52" s="2" t="n">
        <v>133141</v>
      </c>
      <c r="K52" s="2" t="n">
        <v>5815</v>
      </c>
      <c r="L52" s="2" t="n">
        <v>21789</v>
      </c>
      <c r="M52" s="2" t="n">
        <v>27604</v>
      </c>
      <c r="N52" s="2" t="n">
        <v>42453</v>
      </c>
      <c r="O52" s="2" t="n">
        <v>116333</v>
      </c>
      <c r="P52" s="2" t="n">
        <v>158786</v>
      </c>
      <c r="Q52" s="2" t="n">
        <v>6606</v>
      </c>
      <c r="R52" s="2" t="n">
        <v>23520</v>
      </c>
      <c r="S52" s="2" t="n">
        <v>30126</v>
      </c>
      <c r="T52" s="2" t="n">
        <v>827</v>
      </c>
      <c r="U52" s="2" t="n">
        <f aca="false">+V52-T52</f>
        <v>34429</v>
      </c>
      <c r="V52" s="2" t="n">
        <v>35256</v>
      </c>
      <c r="W52" s="2" t="n">
        <v>87</v>
      </c>
      <c r="X52" s="2" t="n">
        <v>3</v>
      </c>
      <c r="Y52" s="2" t="n">
        <f aca="false">+Z52-W52-X52</f>
        <v>37552</v>
      </c>
      <c r="Z52" s="2" t="n">
        <v>37642</v>
      </c>
      <c r="AA52" s="2" t="n">
        <v>0</v>
      </c>
      <c r="AB52" s="2" t="n">
        <v>87</v>
      </c>
      <c r="AC52" s="2" t="n">
        <v>0</v>
      </c>
      <c r="AD52" s="2" t="n">
        <v>827</v>
      </c>
      <c r="AE52" s="6" t="n">
        <v>41.2</v>
      </c>
      <c r="AF52" s="6" t="n">
        <v>24.4</v>
      </c>
      <c r="AG52" s="6" t="n">
        <f aca="false">100-AE52-AF52</f>
        <v>34.4</v>
      </c>
      <c r="AH52" s="6" t="n">
        <v>55.1</v>
      </c>
      <c r="AI52" s="6" t="n">
        <v>34.7</v>
      </c>
      <c r="AJ52" s="6" t="n">
        <f aca="false">100-AH52-AI52</f>
        <v>10.2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2" t="n">
        <v>1746</v>
      </c>
      <c r="AR52" s="2" t="n">
        <v>2858</v>
      </c>
      <c r="AS52" s="2" t="n">
        <v>4604</v>
      </c>
      <c r="AT52" s="2" t="n">
        <v>261</v>
      </c>
      <c r="AU52" s="2" t="n">
        <v>8</v>
      </c>
      <c r="AV52" s="2" t="n">
        <v>1344</v>
      </c>
      <c r="AW52" s="2" t="n">
        <v>1613</v>
      </c>
      <c r="AX52" s="8" t="n">
        <v>127015</v>
      </c>
      <c r="AY52" s="8" t="n">
        <v>34114</v>
      </c>
      <c r="AZ52" s="8" t="n">
        <v>12506</v>
      </c>
      <c r="BA52" s="8" t="n">
        <v>173635</v>
      </c>
      <c r="BB52" s="9" t="n">
        <v>52018</v>
      </c>
      <c r="BC52" s="8" t="n">
        <v>34989</v>
      </c>
      <c r="BD52" s="8" t="n">
        <v>900</v>
      </c>
      <c r="BE52" s="8" t="n">
        <v>87907</v>
      </c>
      <c r="BF52" s="9" t="n">
        <v>24522</v>
      </c>
      <c r="BG52" s="8" t="n">
        <v>23896</v>
      </c>
      <c r="BH52" s="8" t="n">
        <v>187</v>
      </c>
      <c r="BI52" s="8" t="n">
        <v>1159</v>
      </c>
      <c r="BJ52" s="8" t="n">
        <v>311306</v>
      </c>
    </row>
    <row r="53" customFormat="false" ht="14.65" hidden="false" customHeight="false" outlineLevel="0" collapsed="false">
      <c r="A53" s="10" t="s">
        <v>114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AE53" s="6"/>
      <c r="AF53" s="6"/>
      <c r="AG53" s="6"/>
      <c r="AH53" s="6"/>
      <c r="AI53" s="6"/>
      <c r="AJ53" s="6"/>
      <c r="AX53" s="11" t="n">
        <v>0</v>
      </c>
      <c r="AY53" s="11" t="n">
        <v>0</v>
      </c>
      <c r="AZ53" s="11" t="n">
        <v>3527</v>
      </c>
      <c r="BA53" s="11" t="n">
        <v>3527</v>
      </c>
      <c r="BB53" s="12" t="n">
        <v>0</v>
      </c>
      <c r="BC53" s="11" t="n">
        <v>0</v>
      </c>
      <c r="BD53" s="11" t="n">
        <v>20587</v>
      </c>
      <c r="BE53" s="11" t="n">
        <v>20587</v>
      </c>
      <c r="BF53" s="12" t="n">
        <v>422413</v>
      </c>
      <c r="BG53" s="11" t="n">
        <v>0</v>
      </c>
      <c r="BH53" s="11" t="n">
        <v>0</v>
      </c>
      <c r="BI53" s="11" t="n">
        <v>0</v>
      </c>
      <c r="BJ53" s="11" t="n">
        <v>446527</v>
      </c>
    </row>
    <row r="54" customFormat="false" ht="14.65" hidden="false" customHeight="false" outlineLevel="0" collapsed="false">
      <c r="A54" s="13" t="s">
        <v>115</v>
      </c>
      <c r="B54" s="2" t="n">
        <v>5539140</v>
      </c>
      <c r="C54" s="2" t="e">
        <f aca="false">#REF!</f>
        <v>#VALUE!</v>
      </c>
      <c r="D54" s="2" t="n">
        <v>15864206</v>
      </c>
      <c r="E54" s="2" t="n">
        <v>452488</v>
      </c>
      <c r="F54" s="2" t="e">
        <f aca="false">#REF!</f>
        <v>#VALUE!</v>
      </c>
      <c r="G54" s="2" t="n">
        <v>2973365</v>
      </c>
      <c r="H54" s="2" t="n">
        <v>2901833</v>
      </c>
      <c r="I54" s="2" t="e">
        <f aca="false">#REF!</f>
        <v>#VALUE!</v>
      </c>
      <c r="J54" s="2" t="n">
        <v>12369665</v>
      </c>
      <c r="K54" s="2" t="n">
        <v>790142</v>
      </c>
      <c r="L54" s="2" t="e">
        <f aca="false">#REF!</f>
        <v>#VALUE!</v>
      </c>
      <c r="M54" s="2" t="n">
        <v>3626911</v>
      </c>
      <c r="N54" s="2" t="n">
        <v>8440973</v>
      </c>
      <c r="O54" s="2" t="e">
        <f aca="false">#REF!</f>
        <v>#VALUE!</v>
      </c>
      <c r="P54" s="2" t="n">
        <v>28233871</v>
      </c>
      <c r="Q54" s="2" t="n">
        <v>1242630</v>
      </c>
      <c r="R54" s="2" t="e">
        <f aca="false">#REF!</f>
        <v>#VALUE!</v>
      </c>
      <c r="S54" s="2" t="n">
        <v>6600276</v>
      </c>
      <c r="T54" s="2" t="n">
        <f aca="false">SUM(T2:T52)</f>
        <v>32622</v>
      </c>
      <c r="U54" s="2" t="n">
        <f aca="false">SUM(U2:U52)</f>
        <v>3069021</v>
      </c>
      <c r="V54" s="2" t="n">
        <f aca="false">SUM(V2:V52)</f>
        <v>3101643</v>
      </c>
      <c r="W54" s="2" t="n">
        <f aca="false">SUM(W2:W52)</f>
        <v>12878</v>
      </c>
      <c r="X54" s="2" t="n">
        <f aca="false">SUM(X2:X52)</f>
        <v>8857</v>
      </c>
      <c r="Y54" s="2" t="n">
        <f aca="false">SUM(Y2:Y52)</f>
        <v>3882986</v>
      </c>
      <c r="Z54" s="2" t="n">
        <f aca="false">SUM(Z2:Z52)</f>
        <v>3904721</v>
      </c>
      <c r="AA54" s="2" t="n">
        <v>6230</v>
      </c>
      <c r="AB54" s="2" t="n">
        <v>6648</v>
      </c>
      <c r="AC54" s="2" t="n">
        <v>1589</v>
      </c>
      <c r="AD54" s="2" t="n">
        <v>31033</v>
      </c>
      <c r="AE54" s="6" t="n">
        <f aca="false">AVERAGE(AE2:AE52)</f>
        <v>67.3372549019608</v>
      </c>
      <c r="AF54" s="6" t="n">
        <f aca="false">AVERAGE(AF2:AF52)</f>
        <v>16.5058823529412</v>
      </c>
      <c r="AG54" s="6" t="n">
        <f aca="false">AVERAGE(AG2:AG52)</f>
        <v>16.156862745098</v>
      </c>
      <c r="AH54" s="6" t="n">
        <f aca="false">AVERAGE(AH2:AH52)</f>
        <v>74.5647058823529</v>
      </c>
      <c r="AI54" s="6" t="n">
        <f aca="false">AVERAGE(AI2:AI52)</f>
        <v>19.9823529411765</v>
      </c>
      <c r="AJ54" s="6" t="n">
        <f aca="false">AVERAGE(AJ2:AJ52)</f>
        <v>5.45294117647059</v>
      </c>
      <c r="AQ54" s="14" t="n">
        <f aca="false">SUM(AQ2:AQ52)</f>
        <v>205557</v>
      </c>
      <c r="AR54" s="14" t="n">
        <f aca="false">SUM(AR2:AR52)</f>
        <v>678540</v>
      </c>
      <c r="AS54" s="14" t="n">
        <f aca="false">SUM(AS2:AS52)</f>
        <v>884097</v>
      </c>
      <c r="AT54" s="14" t="n">
        <f aca="false">SUM(AT2:AT52)</f>
        <v>303275</v>
      </c>
      <c r="AU54" s="14" t="n">
        <f aca="false">SUM(AU2:AU52)</f>
        <v>138312</v>
      </c>
      <c r="AV54" s="14" t="n">
        <f aca="false">SUM(AV2:AV52)</f>
        <v>921467</v>
      </c>
      <c r="AW54" s="14" t="n">
        <f aca="false">SUM(AW2:AW52)</f>
        <v>1363054</v>
      </c>
      <c r="AX54" s="15" t="n">
        <v>27143027</v>
      </c>
      <c r="AY54" s="15" t="n">
        <v>10946255</v>
      </c>
      <c r="AZ54" s="15" t="n">
        <v>219878</v>
      </c>
      <c r="BA54" s="15" t="n">
        <v>38309160</v>
      </c>
      <c r="BB54" s="16" t="n">
        <v>8746806</v>
      </c>
      <c r="BC54" s="15" t="n">
        <v>13402999</v>
      </c>
      <c r="BD54" s="15" t="n">
        <v>73790</v>
      </c>
      <c r="BE54" s="15" t="n">
        <v>22223595</v>
      </c>
      <c r="BF54" s="16" t="n">
        <v>7718703</v>
      </c>
      <c r="BG54" s="15" t="n">
        <v>7088262</v>
      </c>
      <c r="BH54" s="15" t="n">
        <v>3620713</v>
      </c>
      <c r="BI54" s="15" t="n">
        <v>4588962</v>
      </c>
      <c r="BJ54" s="15" t="n">
        <v>83549395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