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<sst xmlns="http://schemas.openxmlformats.org/spreadsheetml/2006/main" count="122" uniqueCount="106">
  <si>
    <t xml:space="preserve">TOTAL  DISBURSEMENTS  FOR  HIGHWAYS,  ALL  UNITS  OF  GOVERNMENT  -  1990  REVISED</t>
  </si>
  <si>
    <t xml:space="preserve">COMPILED  FROM  REPORTS  OF  FEDERAL,</t>
  </si>
  <si>
    <t xml:space="preserve">"TABLE  HF-2R</t>
  </si>
  <si>
    <t xml:space="preserve">STATE  AND  LOCAL  AUTHORITIES</t>
  </si>
  <si>
    <t xml:space="preserve">(THOUSANDS  OF  DOLLARS)</t>
  </si>
  <si>
    <t xml:space="preserve">"MAY  1993</t>
  </si>
  <si>
    <t xml:space="preserve">CAPITL  OUTLAY</t>
  </si>
  <si>
    <t xml:space="preserve">MAINTENANCE</t>
  </si>
  <si>
    <t xml:space="preserve">SUMMARY</t>
  </si>
  <si>
    <t xml:space="preserve">ADMINIS-</t>
  </si>
  <si>
    <t xml:space="preserve">HIGHWAY</t>
  </si>
  <si>
    <t xml:space="preserve">BOND</t>
  </si>
  <si>
    <t xml:space="preserve">TOTAL</t>
  </si>
  <si>
    <t xml:space="preserve">STATES</t>
  </si>
  <si>
    <t xml:space="preserve">STATE</t>
  </si>
  <si>
    <t xml:space="preserve">LOCAL</t>
  </si>
  <si>
    <t xml:space="preserve">FEDERAL</t>
  </si>
  <si>
    <t xml:space="preserve">RIGHT-OF-</t>
  </si>
  <si>
    <t xml:space="preserve">TRATION</t>
  </si>
  <si>
    <t xml:space="preserve">LAW</t>
  </si>
  <si>
    <t xml:space="preserve">INTEREST</t>
  </si>
  <si>
    <t xml:space="preserve">RETIREMENT</t>
  </si>
  <si>
    <t xml:space="preserve">DISBURSE-</t>
  </si>
  <si>
    <t xml:space="preserve">ADMINISTERED</t>
  </si>
  <si>
    <t xml:space="preserve">RURAL</t>
  </si>
  <si>
    <t xml:space="preserve">MUNICIPAL</t>
  </si>
  <si>
    <t xml:space="preserve">ROADS  AND</t>
  </si>
  <si>
    <t xml:space="preserve">WAY</t>
  </si>
  <si>
    <t xml:space="preserve">CAPITAL</t>
  </si>
  <si>
    <t xml:space="preserve">AND</t>
  </si>
  <si>
    <t xml:space="preserve">ENFORCEMENT</t>
  </si>
  <si>
    <t xml:space="preserve">4/</t>
  </si>
  <si>
    <t xml:space="preserve">MENTS</t>
  </si>
  <si>
    <t xml:space="preserve">HIGHWAYS</t>
  </si>
  <si>
    <t xml:space="preserve">ROADS</t>
  </si>
  <si>
    <t xml:space="preserve">STREETS</t>
  </si>
  <si>
    <t xml:space="preserve">UNCLASSIFIED</t>
  </si>
  <si>
    <t xml:space="preserve">ONLY</t>
  </si>
  <si>
    <t xml:space="preserve">OUTLAY</t>
  </si>
  <si>
    <t xml:space="preserve">MISCELLA-</t>
  </si>
  <si>
    <t xml:space="preserve">AND </t>
  </si>
  <si>
    <t xml:space="preserve">2/</t>
  </si>
  <si>
    <t xml:space="preserve">3/</t>
  </si>
  <si>
    <t xml:space="preserve">NEOUS</t>
  </si>
  <si>
    <t xml:space="preserve">SAFETY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</si>
  <si>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</si>
  <si>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</si>
  <si>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</si>
  <si>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</si>
  <si>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</si>
  <si>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</si>
  <si>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</si>
  <si>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</si>
  <si>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 OF 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</si>
  <si>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</si>
  <si>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</si>
  <si>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</si>
  <si>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</si>
  <si>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</si>
  <si>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</si>
  <si>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</si>
  <si>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</si>
  <si>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</si>
  <si>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</si>
  <si>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</si>
  <si>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</si>
  <si>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</si>
  <si>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</si>
  <si>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</si>
  <si>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</si>
  <si>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</si>
  <si>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 </t>
  </si>
  <si>
    <t xml:space="preserve">NEBRASKA</t>
  </si>
  <si>
    <t xml:space="preserve">NEVADA</t>
  </si>
  <si>
    <t xml:space="preserve">NEW  HAMPSHIRE</t>
  </si>
  <si>
    <t xml:space="preserve">NEW  JERSEY</t>
  </si>
  <si>
    <t xml:space="preserve">NEW  MEXICO</t>
  </si>
  <si>
    <t xml:space="preserve">NEW  YORK</t>
  </si>
  <si>
    <t xml:space="preserve">NORTH  CAROLINA</t>
  </si>
  <si>
    <t xml:space="preserve">NORTH 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</si>
  <si>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</si>
  <si>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</si>
  <si>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</si>
  <si>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</si>
  <si>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 ISLAND</t>
  </si>
  <si>
    <t xml:space="preserve">SOUTH  CAROLINA</t>
  </si>
  <si>
    <t xml:space="preserve">SOUTH 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</si>
  <si>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</si>
  <si>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</si>
  <si>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</si>
  <si>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</si>
  <si>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</si>
  <si>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</si>
  <si>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 VIRGINIA</t>
  </si>
  <si>
    <t xml:space="preserve">WISCONSIN</t>
  </si>
  <si>
    <t xml:space="preserve">WYOMING</t>
  </si>
  <si>
    <t xml:space="preserve">UNDISTRIBUTED</t>
  </si>
  <si>
    <t xml:space="preserve">BY  STATES</t>
  </si>
  <si>
    <t xml:space="preserve">          1/  DISBURSEMENTS  ARE  CLASSIFIED  BY  SYSTEM  ON  WHICH  EXPENDED,  RATHER  THAN  BY  EXPENDING  AGENCIES,  E.G.,  CAPITAL  OUTLAY  ON </t>
  </si>
  <si>
    <t xml:space="preserve">          3/  RIGHT-OF-WAY  COSTS  FOR  STATE-ADMINISTERED  HIGHWAYS,  LOCAL  RURAL  ROADS,  AND  LOCAL  MU_x001e_8F _x001f_N_x001e_8F _x001f_I_x001e_8F _x001f_C_x001e_8F _x001f_I_x001e_8F _x001f_PA_x001e_8F _x001f_L </t>
  </si>
  <si>
    <t xml:space="preserve">LOCAL  RURAL  ROADS  INCLUDES  EXPENDITURES  FROM  FEDERAL,  STATE,  AND  LOCAL  FUNDS.  DATA  MAY  INCLUDE  ESTIMATES.</t>
  </si>
  <si>
    <t xml:space="preserve">STREETS  CAN  BE  FOUND   IN  TABLES  SF-4C,  LF-2,  AND  UF-2,  RESPECTI_x001e_8F _x001f_VELY.</t>
  </si>
  <si>
    <t xml:space="preserve">          2/  INCLUDES  SMALL  AMOUNTS  FOR  RIGHT-OF-WAY  ON  FEDERAL  ROADS.</t>
  </si>
  <si>
    <t xml:space="preserve">          4/  EXCLUDES  SHORT-TERM  NOTES  AND  REFUNDING  BOND  ISSUES.</t>
  </si>
  <si>
    <t xml:space="preserve">\X</t>
  </si>
  <si>
    <t xml:space="preserve">:WRS{DOWN 1}~2~{DOWN 6}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</si>
</sst>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5.2265625" defaultRowHeight="12" customHeight="true" zeroHeight="false" outlineLevelRow="0" outlineLevelCol="0"/>
  <cols>
    <col collapsed="false" customWidth="false" hidden="false" outlineLevel="0" max="257" min="1" style="1" width="15.23"/>
  </cols>
  <sheetData>
    <row r="1" customFormat="false" ht="1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5" customFormat="false" ht="12" hidden="false" customHeight="true" outlineLevel="0" collapsed="false">
      <c r="A5" s="3" t="s">
        <v>1</v>
      </c>
      <c r="Q5" s="4" t="s">
        <v>2</v>
      </c>
    </row>
    <row r="6" customFormat="false" ht="12" hidden="false" customHeight="true" outlineLevel="0" collapsed="false">
      <c r="A6" s="3" t="s">
        <v>3</v>
      </c>
      <c r="C6" s="2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5" t="s">
        <v>5</v>
      </c>
    </row>
    <row r="7" customFormat="false" ht="12" hidden="false" customHeight="true" outlineLevel="0" collapsed="false">
      <c r="A7" s="6"/>
      <c r="B7" s="7" t="s">
        <v>6</v>
      </c>
      <c r="C7" s="7"/>
      <c r="D7" s="7"/>
      <c r="E7" s="7"/>
      <c r="F7" s="7"/>
      <c r="G7" s="7"/>
      <c r="H7" s="8" t="s">
        <v>7</v>
      </c>
      <c r="I7" s="8"/>
      <c r="J7" s="8"/>
      <c r="K7" s="8"/>
      <c r="L7" s="8"/>
      <c r="M7" s="8"/>
      <c r="N7" s="6"/>
      <c r="O7" s="6"/>
      <c r="P7" s="6"/>
      <c r="Q7" s="6"/>
    </row>
    <row r="8" customFormat="false" ht="12" hidden="false" customHeight="true" outlineLevel="0" collapsed="false">
      <c r="A8" s="9"/>
      <c r="B8" s="9"/>
      <c r="C8" s="9"/>
      <c r="D8" s="9"/>
      <c r="E8" s="9"/>
      <c r="F8" s="7" t="s">
        <v>8</v>
      </c>
      <c r="G8" s="7"/>
      <c r="H8" s="10"/>
      <c r="I8" s="9"/>
      <c r="J8" s="9"/>
      <c r="K8" s="9"/>
      <c r="L8" s="9"/>
      <c r="M8" s="11" t="s">
        <v>9</v>
      </c>
      <c r="N8" s="12" t="s">
        <v>10</v>
      </c>
      <c r="O8" s="9"/>
      <c r="P8" s="12" t="s">
        <v>11</v>
      </c>
      <c r="Q8" s="12" t="s">
        <v>12</v>
      </c>
    </row>
    <row r="9" customFormat="false" ht="12" hidden="false" customHeight="true" outlineLevel="0" collapsed="false">
      <c r="A9" s="12" t="s">
        <v>13</v>
      </c>
      <c r="B9" s="12" t="s">
        <v>14</v>
      </c>
      <c r="C9" s="12" t="s">
        <v>15</v>
      </c>
      <c r="D9" s="12" t="s">
        <v>15</v>
      </c>
      <c r="E9" s="12" t="s">
        <v>16</v>
      </c>
      <c r="F9" s="12" t="s">
        <v>17</v>
      </c>
      <c r="G9" s="12" t="s">
        <v>12</v>
      </c>
      <c r="H9" s="11" t="s">
        <v>14</v>
      </c>
      <c r="I9" s="12" t="s">
        <v>15</v>
      </c>
      <c r="J9" s="12" t="s">
        <v>15</v>
      </c>
      <c r="K9" s="12" t="s">
        <v>16</v>
      </c>
      <c r="L9" s="9"/>
      <c r="M9" s="11" t="s">
        <v>18</v>
      </c>
      <c r="N9" s="12" t="s">
        <v>19</v>
      </c>
      <c r="O9" s="12" t="s">
        <v>20</v>
      </c>
      <c r="P9" s="12" t="s">
        <v>21</v>
      </c>
      <c r="Q9" s="12" t="s">
        <v>22</v>
      </c>
    </row>
    <row r="10" customFormat="false" ht="12" hidden="false" customHeight="true" outlineLevel="0" collapsed="false">
      <c r="A10" s="9"/>
      <c r="B10" s="12" t="s">
        <v>23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1" t="s">
        <v>23</v>
      </c>
      <c r="I10" s="12" t="s">
        <v>24</v>
      </c>
      <c r="J10" s="12" t="s">
        <v>25</v>
      </c>
      <c r="K10" s="12" t="s">
        <v>26</v>
      </c>
      <c r="L10" s="12" t="s">
        <v>12</v>
      </c>
      <c r="M10" s="11" t="s">
        <v>29</v>
      </c>
      <c r="N10" s="12" t="s">
        <v>30</v>
      </c>
      <c r="O10" s="9"/>
      <c r="P10" s="12" t="s">
        <v>31</v>
      </c>
      <c r="Q10" s="12" t="s">
        <v>32</v>
      </c>
    </row>
    <row r="11" customFormat="false" ht="12" hidden="false" customHeight="true" outlineLevel="0" collapsed="false">
      <c r="A11" s="9"/>
      <c r="B11" s="12" t="s">
        <v>33</v>
      </c>
      <c r="C11" s="12" t="s">
        <v>34</v>
      </c>
      <c r="D11" s="12" t="s">
        <v>35</v>
      </c>
      <c r="E11" s="12" t="s">
        <v>36</v>
      </c>
      <c r="F11" s="12" t="s">
        <v>37</v>
      </c>
      <c r="G11" s="12" t="s">
        <v>38</v>
      </c>
      <c r="H11" s="11" t="s">
        <v>33</v>
      </c>
      <c r="I11" s="12" t="s">
        <v>34</v>
      </c>
      <c r="J11" s="12" t="s">
        <v>35</v>
      </c>
      <c r="K11" s="12" t="s">
        <v>36</v>
      </c>
      <c r="L11" s="9"/>
      <c r="M11" s="11" t="s">
        <v>39</v>
      </c>
      <c r="N11" s="12" t="s">
        <v>40</v>
      </c>
      <c r="O11" s="9"/>
      <c r="P11" s="9"/>
      <c r="Q11" s="9"/>
    </row>
    <row r="12" customFormat="false" ht="12" hidden="false" customHeight="true" outlineLevel="0" collapsed="false">
      <c r="A12" s="13"/>
      <c r="B12" s="13"/>
      <c r="C12" s="13"/>
      <c r="D12" s="13"/>
      <c r="E12" s="14" t="s">
        <v>41</v>
      </c>
      <c r="F12" s="14" t="s">
        <v>42</v>
      </c>
      <c r="G12" s="13"/>
      <c r="H12" s="15"/>
      <c r="I12" s="13"/>
      <c r="J12" s="13"/>
      <c r="K12" s="13"/>
      <c r="L12" s="13"/>
      <c r="M12" s="16" t="s">
        <v>43</v>
      </c>
      <c r="N12" s="14" t="s">
        <v>44</v>
      </c>
      <c r="O12" s="13"/>
      <c r="P12" s="13"/>
      <c r="Q12" s="13"/>
    </row>
    <row r="13" customFormat="false" ht="12" hidden="false" customHeight="true" outlineLevel="0" collapsed="false">
      <c r="A13" s="6"/>
      <c r="B13" s="6"/>
      <c r="C13" s="6"/>
      <c r="D13" s="6"/>
      <c r="E13" s="6"/>
      <c r="F13" s="6"/>
      <c r="G13" s="6"/>
      <c r="H13" s="17"/>
      <c r="I13" s="6"/>
      <c r="J13" s="6"/>
      <c r="K13" s="6"/>
      <c r="L13" s="6"/>
      <c r="M13" s="17"/>
      <c r="N13" s="6"/>
      <c r="O13" s="6"/>
      <c r="P13" s="6"/>
      <c r="Q13" s="6"/>
    </row>
    <row r="14" customFormat="false" ht="12" hidden="false" customHeight="true" outlineLevel="0" collapsed="false">
      <c r="A14" s="18" t="s">
        <v>45</v>
      </c>
      <c r="B14" s="9" t="e">
        <f aca="false">Excel_BuiltIn_Criteria</f>
        <v>#N/A</v>
      </c>
      <c r="C14" s="9" t="e">
        <f aca="false">Excel_BuiltIn_Database+Excel_BuiltIn_Criteria</f>
        <v>#VALUE!</v>
      </c>
      <c r="D14" s="9" t="e">
        <f aca="false">Excel_BuiltIn_Data_Form+Excel_BuiltIn_Criteria</f>
        <v>#VALUE!</v>
      </c>
      <c r="E14" s="9" t="e">
        <f aca="false">Excel_BuiltIn_Criteria</f>
        <v>#N/A</v>
      </c>
      <c r="F14" s="9" t="e">
        <f aca="false">Excel_BuiltIn_Criteria+Excel_BuiltIn_Database+Excel_BuiltIn_Database+Excel_BuiltIn_Database</f>
        <v>#VALUE!</v>
      </c>
      <c r="G14" s="9" t="e">
        <f aca="false">SUM(B14:E14)</f>
        <v>#N/A</v>
      </c>
      <c r="H14" s="10" t="e">
        <f aca="false">Excel_BuiltIn_Print_Area</f>
        <v>#N/A</v>
      </c>
      <c r="I14" s="9" t="e">
        <f aca="false">Excel_BuiltIn_Print_Titles+Excel_BuiltIn_Data_Form</f>
        <v>#VALUE!</v>
      </c>
      <c r="J14" s="9" t="e">
        <f aca="false">Excel_BuiltIn_Recorder+Excel_BuiltIn_Data_Form</f>
        <v>#VALUE!</v>
      </c>
      <c r="K14" s="9" t="e">
        <f aca="false">Excel_BuiltIn_Data_Form</f>
        <v>#N/A</v>
      </c>
      <c r="L14" s="9" t="e">
        <f aca="false">SUM(H14:K14)</f>
        <v>#N/A</v>
      </c>
      <c r="M14" s="10" t="e">
        <f aca="false">#NULL!+Excel_BuiltIn_Print_Area+Excel_BuiltIn_Print_Area+Excel_BuiltIn_Print_Area</f>
        <v>#N/A</v>
      </c>
      <c r="N14" s="9" t="e">
        <f aca="false">#NULL!+Excel_BuiltIn_Print_Titles+Excel_BuiltIn_Print_Titles</f>
        <v>#N/A</v>
      </c>
      <c r="O14" s="9" t="e">
        <f aca="false">#NULL!+Excel_BuiltIn_Recorder+Excel_BuiltIn_Recorder</f>
        <v>#N/A</v>
      </c>
      <c r="P14" s="9" t="e">
        <f aca="false">#NULL!+#NULL!+#NULL!</f>
        <v>#N/A</v>
      </c>
      <c r="Q14" s="9" t="e">
        <f aca="false">SUM(L14:P14)+G14</f>
        <v>#N/A</v>
      </c>
    </row>
    <row r="15" customFormat="false" ht="12" hidden="false" customHeight="true" outlineLevel="0" collapsed="false">
      <c r="A15" s="18" t="s">
        <v>46</v>
      </c>
      <c r="B15" s="9" t="n">
        <f aca="false"/>
        <v>144502</v>
      </c>
      <c r="C15" s="9" t="e">
        <f aca="false">#NULL!+#NULL!</f>
        <v>#N/A</v>
      </c>
      <c r="D15" s="9" t="e">
        <f aca="false">#NULL!+#NULL!</f>
        <v>#N/A</v>
      </c>
      <c r="E15" s="9" t="e">
        <f aca="false">Excel_BuiltIn_Print_Titles</f>
        <v>#N/A</v>
      </c>
      <c r="F15" s="9" t="e">
        <f aca="false">#NULL!+#NULL!+Excel_BuiltIn_Database+Excel_BuiltIn_Recorder</f>
        <v>#N/A</v>
      </c>
      <c r="G15" s="9" t="e">
        <f aca="false">SUM(B15:E15)</f>
        <v>#N/A</v>
      </c>
      <c r="H15" s="10" t="n">
        <f aca="false"/>
        <v>115569</v>
      </c>
      <c r="I15" s="9" t="e">
        <f aca="false">#NULL!+#NULL!</f>
        <v>#N/A</v>
      </c>
      <c r="J15" s="9" t="e">
        <f aca="false">#NULL!+#NULL!</f>
        <v>#N/A</v>
      </c>
      <c r="K15" s="9" t="n">
        <f aca="false"/>
        <v>526</v>
      </c>
      <c r="L15" s="9" t="e">
        <f aca="false">SUM(H15:K15)</f>
        <v>#N/A</v>
      </c>
      <c r="M15" s="10" t="e">
        <f aca="false">#NULL!+#NULL!+#NULL!+#NULL!</f>
        <v>#N/A</v>
      </c>
      <c r="N15" s="9" t="e">
        <f aca="false">#NULL!+#NULL!+#NULL!</f>
        <v>#N/A</v>
      </c>
      <c r="O15" s="9" t="e">
        <f aca="false">#NULL!+#NULL!+#NULL!</f>
        <v>#N/A</v>
      </c>
      <c r="P15" s="9" t="e">
        <f aca="false">#NULL!+#NULL!+#NULL!</f>
        <v>#N/A</v>
      </c>
      <c r="Q15" s="9" t="e">
        <f aca="false">SUM(L15:P15)+G15</f>
        <v>#N/A</v>
      </c>
    </row>
    <row r="16" customFormat="false" ht="12" hidden="false" customHeight="true" outlineLevel="0" collapsed="false">
      <c r="A16" s="18" t="s">
        <v>47</v>
      </c>
      <c r="B16" s="9" t="n">
        <f aca="false"/>
        <v>871936</v>
      </c>
      <c r="C16" s="9" t="e">
        <f aca="false">#NULL!+#NULL!</f>
        <v>#N/A</v>
      </c>
      <c r="D16" s="9" t="e">
        <f aca="false">#NULL!+#NULL!</f>
        <v>#N/A</v>
      </c>
      <c r="E16" s="9" t="n">
        <f aca="false"/>
        <v>19847</v>
      </c>
      <c r="F16" s="9" t="e">
        <f aca="false">#NULL!+#NULL!+#NULL!+Excel_BuiltIn_Data_Form</f>
        <v>#N/A</v>
      </c>
      <c r="G16" s="9" t="e">
        <f aca="false">SUM(B16:E16)</f>
        <v>#N/A</v>
      </c>
      <c r="H16" s="10" t="n">
        <f aca="false"/>
        <v>60767</v>
      </c>
      <c r="I16" s="9" t="e">
        <f aca="false">#NULL!+#NULL!</f>
        <v>#N/A</v>
      </c>
      <c r="J16" s="9" t="e">
        <f aca="false">#NULL!+#NULL!</f>
        <v>#N/A</v>
      </c>
      <c r="K16" s="9" t="n">
        <f aca="false"/>
        <v>8928</v>
      </c>
      <c r="L16" s="9" t="e">
        <f aca="false">SUM(H16:K16)</f>
        <v>#N/A</v>
      </c>
      <c r="M16" s="10" t="e">
        <f aca="false">#NULL!+#NULL!+#NULL!+#NULL!</f>
        <v>#N/A</v>
      </c>
      <c r="N16" s="9" t="e">
        <f aca="false">#NULL!+#NULL!+#NULL!</f>
        <v>#N/A</v>
      </c>
      <c r="O16" s="9" t="e">
        <f aca="false">#NULL!+#NULL!+#NULL!</f>
        <v>#N/A</v>
      </c>
      <c r="P16" s="9" t="e">
        <f aca="false">#NULL!+#NULL!+#NULL!</f>
        <v>#N/A</v>
      </c>
      <c r="Q16" s="9" t="e">
        <f aca="false">SUM(L16:P16)+G16</f>
        <v>#N/A</v>
      </c>
    </row>
    <row r="17" customFormat="false" ht="12" hidden="false" customHeight="true" outlineLevel="0" collapsed="false">
      <c r="A17" s="18" t="s">
        <v>48</v>
      </c>
      <c r="B17" s="9" t="n">
        <f aca="false"/>
        <v>214187</v>
      </c>
      <c r="C17" s="9" t="e">
        <f aca="false">#NULL!+#NULL!</f>
        <v>#N/A</v>
      </c>
      <c r="D17" s="9" t="e">
        <f aca="false">#NULL!+#NULL!</f>
        <v>#N/A</v>
      </c>
      <c r="E17" s="9" t="n">
        <f aca="false"/>
        <v>2462</v>
      </c>
      <c r="F17" s="9" t="e">
        <f aca="false">#NULL!+#NULL!+#NULL!+Excel_BuiltIn_Print_Area</f>
        <v>#N/A</v>
      </c>
      <c r="G17" s="9" t="e">
        <f aca="false">SUM(B17:E17)</f>
        <v>#N/A</v>
      </c>
      <c r="H17" s="10" t="n">
        <f aca="false"/>
        <v>96852</v>
      </c>
      <c r="I17" s="9" t="e">
        <f aca="false">#NULL!+#NULL!</f>
        <v>#N/A</v>
      </c>
      <c r="J17" s="9" t="e">
        <f aca="false">#NULL!+#NULL!</f>
        <v>#N/A</v>
      </c>
      <c r="K17" s="9" t="n">
        <f aca="false"/>
        <v>0</v>
      </c>
      <c r="L17" s="9" t="e">
        <f aca="false">SUM(H17:K17)</f>
        <v>#N/A</v>
      </c>
      <c r="M17" s="10" t="e">
        <f aca="false">#NULL!+#NULL!+#NULL!+#NULL!</f>
        <v>#N/A</v>
      </c>
      <c r="N17" s="9" t="e">
        <f aca="false">#NULL!+#NULL!+#NULL!</f>
        <v>#N/A</v>
      </c>
      <c r="O17" s="9" t="e">
        <f aca="false">#NULL!+#NULL!+#NULL!</f>
        <v>#N/A</v>
      </c>
      <c r="P17" s="9" t="e">
        <f aca="false">#NULL!+#NULL!+#NULL!</f>
        <v>#N/A</v>
      </c>
      <c r="Q17" s="9" t="e">
        <f aca="false">SUM(L17:P17)+G17</f>
        <v>#N/A</v>
      </c>
    </row>
    <row r="18" customFormat="false" ht="12" hidden="false" customHeight="true" outlineLevel="0" collapsed="false">
      <c r="A18" s="13"/>
      <c r="B18" s="13"/>
      <c r="C18" s="13"/>
      <c r="D18" s="13"/>
      <c r="E18" s="13"/>
      <c r="F18" s="13"/>
      <c r="G18" s="13"/>
      <c r="H18" s="15"/>
      <c r="I18" s="13"/>
      <c r="J18" s="13"/>
      <c r="K18" s="13"/>
      <c r="L18" s="13"/>
      <c r="M18" s="15"/>
      <c r="N18" s="13"/>
      <c r="O18" s="13"/>
      <c r="P18" s="13"/>
      <c r="Q18" s="13"/>
    </row>
    <row r="19" customFormat="false" ht="12" hidden="false" customHeight="true" outlineLevel="0" collapsed="false">
      <c r="A19" s="6"/>
      <c r="B19" s="6"/>
      <c r="C19" s="6"/>
      <c r="D19" s="6"/>
      <c r="E19" s="6"/>
      <c r="F19" s="6"/>
      <c r="G19" s="6"/>
      <c r="H19" s="17"/>
      <c r="I19" s="6"/>
      <c r="J19" s="6"/>
      <c r="K19" s="6"/>
      <c r="L19" s="6"/>
      <c r="M19" s="17"/>
      <c r="N19" s="6"/>
      <c r="O19" s="6"/>
      <c r="P19" s="6"/>
      <c r="Q19" s="6"/>
    </row>
    <row r="20" customFormat="false" ht="12" hidden="false" customHeight="true" outlineLevel="0" collapsed="false">
      <c r="A20" s="18" t="s">
        <v>49</v>
      </c>
      <c r="B20" s="9" t="n">
        <f aca="false"/>
        <v>1900538</v>
      </c>
      <c r="C20" s="9" t="e">
        <f aca="false">#NULL!+#NULL!</f>
        <v>#N/A</v>
      </c>
      <c r="D20" s="9" t="e">
        <f aca="false">#NULL!+#NULL!</f>
        <v>#N/A</v>
      </c>
      <c r="E20" s="9" t="n">
        <f aca="false"/>
        <v>16748</v>
      </c>
      <c r="F20" s="9" t="e">
        <f aca="false">#NULL!+#NULL!+#NULL!+Excel_BuiltIn_Print_Titles</f>
        <v>#N/A</v>
      </c>
      <c r="G20" s="9" t="e">
        <f aca="false">SUM(B20:E20)</f>
        <v>#N/A</v>
      </c>
      <c r="H20" s="10" t="n">
        <f aca="false"/>
        <v>516847</v>
      </c>
      <c r="I20" s="9" t="e">
        <f aca="false">#NULL!+#NULL!</f>
        <v>#N/A</v>
      </c>
      <c r="J20" s="9" t="e">
        <f aca="false">#NULL!+#NULL!</f>
        <v>#N/A</v>
      </c>
      <c r="K20" s="9" t="n">
        <f aca="false"/>
        <v>270</v>
      </c>
      <c r="L20" s="9" t="e">
        <f aca="false">SUM(H20:K20)</f>
        <v>#N/A</v>
      </c>
      <c r="M20" s="10" t="e">
        <f aca="false">#NULL!+#NULL!+#NULL!+#NULL!</f>
        <v>#N/A</v>
      </c>
      <c r="N20" s="9" t="e">
        <f aca="false">#NULL!+#NULL!+#NULL!</f>
        <v>#N/A</v>
      </c>
      <c r="O20" s="9" t="e">
        <f aca="false">#NULL!+#NULL!+#NULL!</f>
        <v>#N/A</v>
      </c>
      <c r="P20" s="9" t="e">
        <f aca="false">#NULL!+#NULL!+#NULL!</f>
        <v>#N/A</v>
      </c>
      <c r="Q20" s="9" t="e">
        <f aca="false">SUM(L20:P20)+G20</f>
        <v>#N/A</v>
      </c>
    </row>
    <row r="21" customFormat="false" ht="12" hidden="false" customHeight="true" outlineLevel="0" collapsed="false">
      <c r="A21" s="18" t="s">
        <v>50</v>
      </c>
      <c r="B21" s="9" t="n">
        <f aca="false"/>
        <v>368279</v>
      </c>
      <c r="C21" s="9" t="e">
        <f aca="false">#NULL!+#NULL!</f>
        <v>#N/A</v>
      </c>
      <c r="D21" s="9" t="e">
        <f aca="false">#NULL!+#NULL!</f>
        <v>#N/A</v>
      </c>
      <c r="E21" s="9" t="n">
        <f aca="false"/>
        <v>7634</v>
      </c>
      <c r="F21" s="9" t="e">
        <f aca="false">#NULL!+#NULL!+#NULL!+Excel_BuiltIn_Recorder</f>
        <v>#N/A</v>
      </c>
      <c r="G21" s="9" t="e">
        <f aca="false">SUM(B21:E21)</f>
        <v>#N/A</v>
      </c>
      <c r="H21" s="10" t="n">
        <f aca="false"/>
        <v>107168</v>
      </c>
      <c r="I21" s="9" t="e">
        <f aca="false">#NULL!+#NULL!</f>
        <v>#N/A</v>
      </c>
      <c r="J21" s="9" t="e">
        <f aca="false">#NULL!+#NULL!</f>
        <v>#N/A</v>
      </c>
      <c r="K21" s="9" t="n">
        <f aca="false"/>
        <v>569</v>
      </c>
      <c r="L21" s="9" t="e">
        <f aca="false">SUM(H21:K21)</f>
        <v>#N/A</v>
      </c>
      <c r="M21" s="10" t="e">
        <f aca="false">#NULL!+#NULL!+#NULL!+#NULL!</f>
        <v>#N/A</v>
      </c>
      <c r="N21" s="9" t="e">
        <f aca="false">#NULL!+#NULL!+#NULL!</f>
        <v>#N/A</v>
      </c>
      <c r="O21" s="9" t="e">
        <f aca="false">#NULL!+#NULL!+#NULL!</f>
        <v>#N/A</v>
      </c>
      <c r="P21" s="9" t="e">
        <f aca="false">#NULL!+#NULL!+#NULL!</f>
        <v>#N/A</v>
      </c>
      <c r="Q21" s="9" t="e">
        <f aca="false">SUM(L21:P21)+G21</f>
        <v>#N/A</v>
      </c>
    </row>
    <row r="22" customFormat="false" ht="12" hidden="false" customHeight="true" outlineLevel="0" collapsed="false">
      <c r="A22" s="18" t="s">
        <v>51</v>
      </c>
      <c r="B22" s="9" t="n">
        <f aca="false"/>
        <v>799771</v>
      </c>
      <c r="C22" s="9" t="e">
        <f aca="false">#NULL!+#NULL!</f>
        <v>#N/A</v>
      </c>
      <c r="D22" s="9" t="e">
        <f aca="false">#NULL!+#NULL!</f>
        <v>#N/A</v>
      </c>
      <c r="E22" s="9" t="n">
        <f aca="false"/>
        <v>0</v>
      </c>
      <c r="F22" s="9" t="e">
        <f aca="false">#NULL!+#NULL!+#NULL!+#NULL!</f>
        <v>#N/A</v>
      </c>
      <c r="G22" s="9" t="e">
        <f aca="false">SUM(B22:E22)</f>
        <v>#N/A</v>
      </c>
      <c r="H22" s="10" t="n">
        <f aca="false"/>
        <v>83900</v>
      </c>
      <c r="I22" s="9" t="e">
        <f aca="false">#NULL!+#NULL!</f>
        <v>#N/A</v>
      </c>
      <c r="J22" s="9" t="e">
        <f aca="false">#NULL!+#NULL!</f>
        <v>#N/A</v>
      </c>
      <c r="K22" s="9" t="n">
        <f aca="false"/>
        <v>16</v>
      </c>
      <c r="L22" s="9" t="e">
        <f aca="false">SUM(H22:K22)</f>
        <v>#N/A</v>
      </c>
      <c r="M22" s="10" t="e">
        <f aca="false">#NULL!+#NULL!+#NULL!+#NULL!</f>
        <v>#N/A</v>
      </c>
      <c r="N22" s="9" t="e">
        <f aca="false">#NULL!+#NULL!+#NULL!</f>
        <v>#N/A</v>
      </c>
      <c r="O22" s="9" t="e">
        <f aca="false">#NULL!+#NULL!+#NULL!</f>
        <v>#N/A</v>
      </c>
      <c r="P22" s="9" t="e">
        <f aca="false">#NULL!+#NULL!+#NULL!</f>
        <v>#N/A</v>
      </c>
      <c r="Q22" s="9" t="e">
        <f aca="false">SUM(L22:P22)+G22</f>
        <v>#N/A</v>
      </c>
    </row>
    <row r="23" customFormat="false" ht="12" hidden="false" customHeight="true" outlineLevel="0" collapsed="false">
      <c r="A23" s="18" t="s">
        <v>52</v>
      </c>
      <c r="B23" s="9" t="n">
        <f aca="false"/>
        <v>145255</v>
      </c>
      <c r="C23" s="9" t="e">
        <f aca="false">#NULL!+#NULL!</f>
        <v>#N/A</v>
      </c>
      <c r="D23" s="9" t="e">
        <f aca="false">#NULL!+#NULL!</f>
        <v>#N/A</v>
      </c>
      <c r="E23" s="9" t="n">
        <f aca="false"/>
        <v>969</v>
      </c>
      <c r="F23" s="9" t="e">
        <f aca="false">#NULL!+#NULL!+#NULL!+#NULL!</f>
        <v>#N/A</v>
      </c>
      <c r="G23" s="9" t="e">
        <f aca="false">SUM(B23:E23)</f>
        <v>#N/A</v>
      </c>
      <c r="H23" s="10" t="n">
        <f aca="false"/>
        <v>38087</v>
      </c>
      <c r="I23" s="9" t="e">
        <f aca="false">#NULL!+#NULL!</f>
        <v>#N/A</v>
      </c>
      <c r="J23" s="9" t="e">
        <f aca="false">#NULL!+#NULL!</f>
        <v>#N/A</v>
      </c>
      <c r="K23" s="9" t="n">
        <f aca="false"/>
        <v>0</v>
      </c>
      <c r="L23" s="9" t="e">
        <f aca="false">SUM(H23:K23)</f>
        <v>#N/A</v>
      </c>
      <c r="M23" s="10" t="e">
        <f aca="false">#NULL!+#NULL!+#NULL!+#NULL!</f>
        <v>#N/A</v>
      </c>
      <c r="N23" s="9" t="e">
        <f aca="false">#NULL!+#NULL!+#NULL!</f>
        <v>#N/A</v>
      </c>
      <c r="O23" s="9" t="e">
        <f aca="false">#NULL!+#NULL!+#NULL!</f>
        <v>#N/A</v>
      </c>
      <c r="P23" s="9" t="e">
        <f aca="false">#NULL!+#NULL!+#NULL!</f>
        <v>#N/A</v>
      </c>
      <c r="Q23" s="9" t="e">
        <f aca="false">SUM(L23:P23)+G23</f>
        <v>#N/A</v>
      </c>
    </row>
    <row r="24" customFormat="false" ht="12" hidden="false" customHeight="true" outlineLevel="0" collapsed="false">
      <c r="A24" s="13"/>
      <c r="B24" s="13"/>
      <c r="C24" s="13"/>
      <c r="D24" s="13"/>
      <c r="E24" s="13"/>
      <c r="F24" s="13"/>
      <c r="G24" s="13"/>
      <c r="H24" s="15"/>
      <c r="I24" s="13"/>
      <c r="J24" s="13"/>
      <c r="K24" s="13"/>
      <c r="L24" s="13"/>
      <c r="M24" s="15"/>
      <c r="N24" s="13"/>
      <c r="O24" s="13"/>
      <c r="P24" s="13"/>
      <c r="Q24" s="13"/>
    </row>
    <row r="25" customFormat="false" ht="12" hidden="false" customHeight="true" outlineLevel="0" collapsed="false">
      <c r="A25" s="6"/>
      <c r="B25" s="6"/>
      <c r="C25" s="6"/>
      <c r="D25" s="6"/>
      <c r="E25" s="6"/>
      <c r="F25" s="6"/>
      <c r="G25" s="6"/>
      <c r="H25" s="17"/>
      <c r="I25" s="6"/>
      <c r="J25" s="6"/>
      <c r="K25" s="6"/>
      <c r="L25" s="6"/>
      <c r="M25" s="17"/>
      <c r="N25" s="6"/>
      <c r="O25" s="6"/>
      <c r="P25" s="6"/>
      <c r="Q25" s="6"/>
    </row>
    <row r="26" customFormat="false" ht="12" hidden="false" customHeight="true" outlineLevel="0" collapsed="false">
      <c r="A26" s="18" t="s">
        <v>53</v>
      </c>
      <c r="B26" s="9" t="n">
        <f aca="false"/>
        <v>0</v>
      </c>
      <c r="C26" s="9" t="n">
        <f aca="false"/>
        <v>0</v>
      </c>
      <c r="D26" s="9" t="n">
        <f aca="false"/>
        <v>100390</v>
      </c>
      <c r="E26" s="9" t="n">
        <f aca="false"/>
        <v>1895</v>
      </c>
      <c r="F26" s="9" t="n">
        <f aca="false"/>
        <v>0</v>
      </c>
      <c r="G26" s="9" t="n">
        <f aca="false">SUM(B26:E26)</f>
        <v>102285</v>
      </c>
      <c r="H26" s="10" t="n">
        <f aca="false"/>
        <v>0</v>
      </c>
      <c r="I26" s="9" t="n">
        <f aca="false"/>
        <v>0</v>
      </c>
      <c r="J26" s="9" t="n">
        <f aca="false"/>
        <v>34462</v>
      </c>
      <c r="K26" s="9" t="n">
        <f aca="false"/>
        <v>93</v>
      </c>
      <c r="L26" s="9" t="n">
        <f aca="false">SUM(H26:K26)</f>
        <v>34555</v>
      </c>
      <c r="M26" s="10" t="e">
        <f aca="false">#NULL!+#NULL!</f>
        <v>#N/A</v>
      </c>
      <c r="N26" s="9" t="n">
        <f aca="false"/>
        <v>9538</v>
      </c>
      <c r="O26" s="9" t="n">
        <f aca="false"/>
        <v>77394</v>
      </c>
      <c r="P26" s="9" t="n">
        <f aca="false"/>
        <v>40185</v>
      </c>
      <c r="Q26" s="9" t="e">
        <f aca="false">SUM(L26:P26)+G26</f>
        <v>#N/A</v>
      </c>
    </row>
    <row r="27" customFormat="false" ht="12" hidden="false" customHeight="true" outlineLevel="0" collapsed="false">
      <c r="A27" s="18" t="s">
        <v>54</v>
      </c>
      <c r="B27" s="9" t="n">
        <f aca="false"/>
        <v>932903</v>
      </c>
      <c r="C27" s="9" t="e">
        <f aca="false">#NULL!+#NULL!</f>
        <v>#N/A</v>
      </c>
      <c r="D27" s="9" t="e">
        <f aca="false">#NULL!+#NULL!</f>
        <v>#N/A</v>
      </c>
      <c r="E27" s="9" t="n">
        <f aca="false"/>
        <v>171</v>
      </c>
      <c r="F27" s="9" t="e">
        <f aca="false">#NULL!+#NULL!+#NULL!+#NULL!</f>
        <v>#N/A</v>
      </c>
      <c r="G27" s="9" t="e">
        <f aca="false">SUM(B27:E27)</f>
        <v>#N/A</v>
      </c>
      <c r="H27" s="10" t="n">
        <f aca="false"/>
        <v>184005</v>
      </c>
      <c r="I27" s="9" t="e">
        <f aca="false">#NULL!+#NULL!</f>
        <v>#N/A</v>
      </c>
      <c r="J27" s="9" t="e">
        <f aca="false">#NULL!+#NULL!</f>
        <v>#N/A</v>
      </c>
      <c r="K27" s="9" t="n">
        <f aca="false"/>
        <v>136</v>
      </c>
      <c r="L27" s="9" t="e">
        <f aca="false">SUM(H27:K27)</f>
        <v>#N/A</v>
      </c>
      <c r="M27" s="10" t="e">
        <f aca="false">#NULL!+#NULL!+#NULL!+#NULL!</f>
        <v>#N/A</v>
      </c>
      <c r="N27" s="9" t="e">
        <f aca="false">#NULL!+#NULL!+#NULL!</f>
        <v>#N/A</v>
      </c>
      <c r="O27" s="9" t="e">
        <f aca="false">#NULL!+#NULL!+#NULL!</f>
        <v>#N/A</v>
      </c>
      <c r="P27" s="9" t="e">
        <f aca="false">#NULL!+#NULL!+#NULL!</f>
        <v>#N/A</v>
      </c>
      <c r="Q27" s="9" t="e">
        <f aca="false">SUM(L27:P27)+G27</f>
        <v>#N/A</v>
      </c>
    </row>
    <row r="28" customFormat="false" ht="12" hidden="false" customHeight="true" outlineLevel="0" collapsed="false">
      <c r="A28" s="18" t="s">
        <v>55</v>
      </c>
      <c r="B28" s="9" t="n">
        <f aca="false"/>
        <v>765279</v>
      </c>
      <c r="C28" s="9" t="e">
        <f aca="false">#NULL!+#NULL!</f>
        <v>#N/A</v>
      </c>
      <c r="D28" s="9" t="e">
        <f aca="false">#NULL!+#NULL!</f>
        <v>#N/A</v>
      </c>
      <c r="E28" s="9" t="n">
        <f aca="false"/>
        <v>170</v>
      </c>
      <c r="F28" s="9" t="e">
        <f aca="false">#NULL!+#NULL!+#NULL!+#NULL!</f>
        <v>#N/A</v>
      </c>
      <c r="G28" s="9" t="e">
        <f aca="false">SUM(B28:E28)</f>
        <v>#N/A</v>
      </c>
      <c r="H28" s="10" t="n">
        <f aca="false"/>
        <v>206567</v>
      </c>
      <c r="I28" s="9" t="e">
        <f aca="false">#NULL!+#NULL!</f>
        <v>#N/A</v>
      </c>
      <c r="J28" s="9" t="e">
        <f aca="false">#NULL!+#NULL!</f>
        <v>#N/A</v>
      </c>
      <c r="K28" s="9" t="n">
        <f aca="false"/>
        <v>0</v>
      </c>
      <c r="L28" s="9" t="e">
        <f aca="false">SUM(H28:K28)</f>
        <v>#N/A</v>
      </c>
      <c r="M28" s="10" t="e">
        <f aca="false">#NULL!+#NULL!+#NULL!+#NULL!</f>
        <v>#N/A</v>
      </c>
      <c r="N28" s="9" t="e">
        <f aca="false">#NULL!+#NULL!+#NULL!</f>
        <v>#N/A</v>
      </c>
      <c r="O28" s="9" t="e">
        <f aca="false">#NULL!+#NULL!+#NULL!</f>
        <v>#N/A</v>
      </c>
      <c r="P28" s="9" t="e">
        <f aca="false">#NULL!+#NULL!+#NULL!</f>
        <v>#N/A</v>
      </c>
      <c r="Q28" s="9" t="e">
        <f aca="false">SUM(L28:P28)+G28</f>
        <v>#N/A</v>
      </c>
    </row>
    <row r="29" customFormat="false" ht="12" hidden="false" customHeight="true" outlineLevel="0" collapsed="false">
      <c r="A29" s="18" t="s">
        <v>56</v>
      </c>
      <c r="B29" s="9" t="n">
        <f aca="false"/>
        <v>198520</v>
      </c>
      <c r="C29" s="9" t="e">
        <f aca="false">#NULL!+#NULL!</f>
        <v>#N/A</v>
      </c>
      <c r="D29" s="9" t="e">
        <f aca="false">#NULL!+#NULL!</f>
        <v>#N/A</v>
      </c>
      <c r="E29" s="9" t="n">
        <f aca="false"/>
        <v>199</v>
      </c>
      <c r="F29" s="9" t="e">
        <f aca="false">#NULL!+#NULL!+#NULL!+#NULL!</f>
        <v>#N/A</v>
      </c>
      <c r="G29" s="9" t="e">
        <f aca="false">SUM(B29:E29)</f>
        <v>#N/A</v>
      </c>
      <c r="H29" s="10" t="n">
        <f aca="false"/>
        <v>17309</v>
      </c>
      <c r="I29" s="9" t="e">
        <f aca="false">#NULL!+#NULL!</f>
        <v>#N/A</v>
      </c>
      <c r="J29" s="9" t="e">
        <f aca="false">#NULL!+#NULL!</f>
        <v>#N/A</v>
      </c>
      <c r="K29" s="9" t="n">
        <f aca="false"/>
        <v>0</v>
      </c>
      <c r="L29" s="9" t="e">
        <f aca="false">SUM(H29:K29)</f>
        <v>#N/A</v>
      </c>
      <c r="M29" s="10" t="e">
        <f aca="false">#NULL!+#NULL!+#NULL!+#NULL!</f>
        <v>#N/A</v>
      </c>
      <c r="N29" s="9" t="e">
        <f aca="false">#NULL!+#NULL!+#NULL!</f>
        <v>#N/A</v>
      </c>
      <c r="O29" s="9" t="e">
        <f aca="false">#NULL!+#NULL!+#NULL!</f>
        <v>#N/A</v>
      </c>
      <c r="P29" s="9" t="e">
        <f aca="false">#NULL!+#NULL!+#NULL!</f>
        <v>#N/A</v>
      </c>
      <c r="Q29" s="9" t="e">
        <f aca="false">SUM(L29:P29)+G29</f>
        <v>#N/A</v>
      </c>
    </row>
    <row r="30" customFormat="false" ht="12" hidden="false" customHeight="true" outlineLevel="0" collapsed="false">
      <c r="A30" s="13"/>
      <c r="B30" s="13"/>
      <c r="C30" s="13"/>
      <c r="D30" s="13"/>
      <c r="E30" s="13"/>
      <c r="F30" s="13"/>
      <c r="G30" s="13"/>
      <c r="H30" s="15"/>
      <c r="I30" s="13"/>
      <c r="J30" s="13"/>
      <c r="K30" s="13"/>
      <c r="L30" s="13"/>
      <c r="M30" s="15"/>
      <c r="N30" s="13"/>
      <c r="O30" s="13"/>
      <c r="P30" s="13"/>
      <c r="Q30" s="13"/>
    </row>
    <row r="31" customFormat="false" ht="12" hidden="false" customHeight="true" outlineLevel="0" collapsed="false">
      <c r="A31" s="6"/>
      <c r="B31" s="6"/>
      <c r="C31" s="6"/>
      <c r="D31" s="6"/>
      <c r="E31" s="6"/>
      <c r="F31" s="6"/>
      <c r="G31" s="6"/>
      <c r="H31" s="17"/>
      <c r="I31" s="6"/>
      <c r="J31" s="6"/>
      <c r="K31" s="6"/>
      <c r="L31" s="6"/>
      <c r="M31" s="17"/>
      <c r="N31" s="6"/>
      <c r="O31" s="6"/>
      <c r="P31" s="6"/>
      <c r="Q31" s="6"/>
    </row>
    <row r="32" customFormat="false" ht="12" hidden="false" customHeight="true" outlineLevel="0" collapsed="false">
      <c r="A32" s="18" t="s">
        <v>57</v>
      </c>
      <c r="B32" s="9" t="n">
        <f aca="false"/>
        <v>140935</v>
      </c>
      <c r="C32" s="9" t="e">
        <f aca="false">#NULL!+#NULL!</f>
        <v>#N/A</v>
      </c>
      <c r="D32" s="9" t="e">
        <f aca="false">#NULL!+#NULL!</f>
        <v>#N/A</v>
      </c>
      <c r="E32" s="9" t="n">
        <f aca="false"/>
        <v>11933</v>
      </c>
      <c r="F32" s="9" t="e">
        <f aca="false">#NULL!+#NULL!+#NULL!+#NULL!</f>
        <v>#N/A</v>
      </c>
      <c r="G32" s="9" t="e">
        <f aca="false">SUM(B32:E32)</f>
        <v>#N/A</v>
      </c>
      <c r="H32" s="10" t="n">
        <f aca="false"/>
        <v>46640</v>
      </c>
      <c r="I32" s="9" t="e">
        <f aca="false">#NULL!+#NULL!</f>
        <v>#N/A</v>
      </c>
      <c r="J32" s="9" t="e">
        <f aca="false">#NULL!+#NULL!</f>
        <v>#N/A</v>
      </c>
      <c r="K32" s="9" t="n">
        <f aca="false"/>
        <v>1315</v>
      </c>
      <c r="L32" s="9" t="e">
        <f aca="false">SUM(H32:K32)</f>
        <v>#N/A</v>
      </c>
      <c r="M32" s="10" t="e">
        <f aca="false">#NULL!+#NULL!+#NULL!+#NULL!</f>
        <v>#N/A</v>
      </c>
      <c r="N32" s="9" t="e">
        <f aca="false">#NULL!+#NULL!+#NULL!</f>
        <v>#N/A</v>
      </c>
      <c r="O32" s="9" t="e">
        <f aca="false">#NULL!+#NULL!+#NULL!</f>
        <v>#N/A</v>
      </c>
      <c r="P32" s="9" t="e">
        <f aca="false">#NULL!+#NULL!+#NULL!</f>
        <v>#N/A</v>
      </c>
      <c r="Q32" s="9" t="e">
        <f aca="false">SUM(L32:P32)+G32</f>
        <v>#N/A</v>
      </c>
    </row>
    <row r="33" customFormat="false" ht="12" hidden="false" customHeight="true" outlineLevel="0" collapsed="false">
      <c r="A33" s="18" t="s">
        <v>58</v>
      </c>
      <c r="B33" s="9" t="n">
        <f aca="false"/>
        <v>1221093</v>
      </c>
      <c r="C33" s="9" t="e">
        <f aca="false">#NULL!+#NULL!</f>
        <v>#N/A</v>
      </c>
      <c r="D33" s="9" t="e">
        <f aca="false">#NULL!+#NULL!</f>
        <v>#N/A</v>
      </c>
      <c r="E33" s="9" t="n">
        <f aca="false"/>
        <v>603</v>
      </c>
      <c r="F33" s="9" t="e">
        <f aca="false">#NULL!+#NULL!+#NULL!+#NULL!</f>
        <v>#N/A</v>
      </c>
      <c r="G33" s="9" t="e">
        <f aca="false">SUM(B33:E33)</f>
        <v>#N/A</v>
      </c>
      <c r="H33" s="10" t="n">
        <f aca="false"/>
        <v>281954</v>
      </c>
      <c r="I33" s="9" t="e">
        <f aca="false">#NULL!+#NULL!</f>
        <v>#N/A</v>
      </c>
      <c r="J33" s="9" t="e">
        <f aca="false">#NULL!+#NULL!</f>
        <v>#N/A</v>
      </c>
      <c r="K33" s="9" t="n">
        <f aca="false"/>
        <v>0</v>
      </c>
      <c r="L33" s="9" t="e">
        <f aca="false">SUM(H33:K33)</f>
        <v>#N/A</v>
      </c>
      <c r="M33" s="10" t="e">
        <f aca="false">#NULL!+#NULL!+#NULL!+#NULL!</f>
        <v>#N/A</v>
      </c>
      <c r="N33" s="9" t="e">
        <f aca="false">#NULL!+#NULL!+#NULL!</f>
        <v>#N/A</v>
      </c>
      <c r="O33" s="9" t="e">
        <f aca="false">#NULL!+#NULL!+#NULL!</f>
        <v>#N/A</v>
      </c>
      <c r="P33" s="9" t="e">
        <f aca="false">#NULL!+#NULL!+#NULL!</f>
        <v>#N/A</v>
      </c>
      <c r="Q33" s="9" t="e">
        <f aca="false">SUM(L33:P33)+G33</f>
        <v>#N/A</v>
      </c>
    </row>
    <row r="34" customFormat="false" ht="12" hidden="false" customHeight="true" outlineLevel="0" collapsed="false">
      <c r="A34" s="18" t="s">
        <v>59</v>
      </c>
      <c r="B34" s="9" t="n">
        <f aca="false"/>
        <v>457674</v>
      </c>
      <c r="C34" s="9" t="e">
        <f aca="false">#NULL!+#NULL!</f>
        <v>#N/A</v>
      </c>
      <c r="D34" s="9" t="e">
        <f aca="false">#NULL!+#NULL!</f>
        <v>#N/A</v>
      </c>
      <c r="E34" s="9" t="n">
        <f aca="false"/>
        <v>220</v>
      </c>
      <c r="F34" s="9" t="e">
        <f aca="false">#NULL!+#NULL!+#NULL!+#NULL!</f>
        <v>#N/A</v>
      </c>
      <c r="G34" s="9" t="e">
        <f aca="false">SUM(B34:E34)</f>
        <v>#N/A</v>
      </c>
      <c r="H34" s="10" t="n">
        <f aca="false"/>
        <v>236624</v>
      </c>
      <c r="I34" s="9" t="e">
        <f aca="false">#NULL!+#NULL!</f>
        <v>#N/A</v>
      </c>
      <c r="J34" s="9" t="e">
        <f aca="false">#NULL!+#NULL!</f>
        <v>#N/A</v>
      </c>
      <c r="K34" s="9" t="n">
        <f aca="false"/>
        <v>0</v>
      </c>
      <c r="L34" s="9" t="e">
        <f aca="false">SUM(H34:K34)</f>
        <v>#N/A</v>
      </c>
      <c r="M34" s="10" t="e">
        <f aca="false">#NULL!+#NULL!+#NULL!+#NULL!</f>
        <v>#N/A</v>
      </c>
      <c r="N34" s="9" t="e">
        <f aca="false">#NULL!+#NULL!+#NULL!</f>
        <v>#N/A</v>
      </c>
      <c r="O34" s="9" t="e">
        <f aca="false">#NULL!+#NULL!+#NULL!</f>
        <v>#N/A</v>
      </c>
      <c r="P34" s="9" t="e">
        <f aca="false">#NULL!+#NULL!+#NULL!</f>
        <v>#N/A</v>
      </c>
      <c r="Q34" s="9" t="e">
        <f aca="false">SUM(L34:P34)+G34</f>
        <v>#N/A</v>
      </c>
    </row>
    <row r="35" customFormat="false" ht="12" hidden="false" customHeight="true" outlineLevel="0" collapsed="false">
      <c r="A35" s="18" t="s">
        <v>60</v>
      </c>
      <c r="B35" s="9" t="n">
        <f aca="false"/>
        <v>327345</v>
      </c>
      <c r="C35" s="9" t="e">
        <f aca="false">#NULL!+#NULL!</f>
        <v>#N/A</v>
      </c>
      <c r="D35" s="9" t="e">
        <f aca="false">#NULL!+#NULL!</f>
        <v>#N/A</v>
      </c>
      <c r="E35" s="9" t="n">
        <f aca="false"/>
        <v>123</v>
      </c>
      <c r="F35" s="9" t="e">
        <f aca="false">#NULL!+#NULL!+#NULL!+#NULL!</f>
        <v>#N/A</v>
      </c>
      <c r="G35" s="9" t="e">
        <f aca="false">SUM(B35:E35)</f>
        <v>#N/A</v>
      </c>
      <c r="H35" s="10" t="n">
        <f aca="false"/>
        <v>119861</v>
      </c>
      <c r="I35" s="9" t="e">
        <f aca="false">#NULL!+#NULL!</f>
        <v>#N/A</v>
      </c>
      <c r="J35" s="9" t="e">
        <f aca="false">#NULL!+#NULL!</f>
        <v>#N/A</v>
      </c>
      <c r="K35" s="9" t="n">
        <f aca="false"/>
        <v>12</v>
      </c>
      <c r="L35" s="9" t="e">
        <f aca="false">SUM(H35:K35)</f>
        <v>#N/A</v>
      </c>
      <c r="M35" s="10" t="e">
        <f aca="false">#NULL!+#NULL!+#NULL!+#NULL!</f>
        <v>#N/A</v>
      </c>
      <c r="N35" s="9" t="e">
        <f aca="false">#NULL!+#NULL!+#NULL!</f>
        <v>#N/A</v>
      </c>
      <c r="O35" s="9" t="e">
        <f aca="false">#NULL!+#NULL!+#NULL!</f>
        <v>#N/A</v>
      </c>
      <c r="P35" s="9" t="e">
        <f aca="false">#NULL!+#NULL!+#NULL!</f>
        <v>#N/A</v>
      </c>
      <c r="Q35" s="9" t="e">
        <f aca="false">SUM(L35:P35)+G35</f>
        <v>#N/A</v>
      </c>
    </row>
    <row r="36" customFormat="false" ht="12" hidden="false" customHeight="true" outlineLevel="0" collapsed="false">
      <c r="A36" s="13"/>
      <c r="B36" s="13"/>
      <c r="C36" s="13"/>
      <c r="D36" s="13"/>
      <c r="E36" s="13"/>
      <c r="F36" s="13"/>
      <c r="G36" s="13"/>
      <c r="H36" s="15"/>
      <c r="I36" s="13"/>
      <c r="J36" s="13"/>
      <c r="K36" s="13"/>
      <c r="L36" s="13"/>
      <c r="M36" s="15"/>
      <c r="N36" s="13"/>
      <c r="O36" s="13"/>
      <c r="P36" s="13"/>
      <c r="Q36" s="13"/>
    </row>
    <row r="37" customFormat="false" ht="12" hidden="false" customHeight="true" outlineLevel="0" collapsed="false">
      <c r="A37" s="6"/>
      <c r="B37" s="6"/>
      <c r="C37" s="6"/>
      <c r="D37" s="6"/>
      <c r="E37" s="6"/>
      <c r="F37" s="6"/>
      <c r="G37" s="6"/>
      <c r="H37" s="17"/>
      <c r="I37" s="6"/>
      <c r="J37" s="6"/>
      <c r="K37" s="6"/>
      <c r="L37" s="6"/>
      <c r="M37" s="17"/>
      <c r="N37" s="6"/>
      <c r="O37" s="6"/>
      <c r="P37" s="6"/>
      <c r="Q37" s="6"/>
    </row>
    <row r="38" customFormat="false" ht="12" hidden="false" customHeight="true" outlineLevel="0" collapsed="false">
      <c r="A38" s="18" t="s">
        <v>61</v>
      </c>
      <c r="B38" s="9" t="n">
        <f aca="false"/>
        <v>318699</v>
      </c>
      <c r="C38" s="9" t="e">
        <f aca="false">#NULL!+#NULL!</f>
        <v>#N/A</v>
      </c>
      <c r="D38" s="9" t="e">
        <f aca="false">#NULL!+#NULL!</f>
        <v>#N/A</v>
      </c>
      <c r="E38" s="9" t="n">
        <f aca="false"/>
        <v>27</v>
      </c>
      <c r="F38" s="9" t="e">
        <f aca="false">#NULL!+#NULL!+#NULL!+#NULL!</f>
        <v>#N/A</v>
      </c>
      <c r="G38" s="9" t="e">
        <f aca="false">SUM(B38:E38)</f>
        <v>#N/A</v>
      </c>
      <c r="H38" s="10" t="n">
        <f aca="false"/>
        <v>78976</v>
      </c>
      <c r="I38" s="9" t="e">
        <f aca="false">#NULL!+#NULL!</f>
        <v>#N/A</v>
      </c>
      <c r="J38" s="9" t="e">
        <f aca="false">#NULL!+#NULL!</f>
        <v>#N/A</v>
      </c>
      <c r="K38" s="9" t="n">
        <f aca="false"/>
        <v>299</v>
      </c>
      <c r="L38" s="9" t="e">
        <f aca="false">SUM(H38:K38)</f>
        <v>#N/A</v>
      </c>
      <c r="M38" s="10" t="e">
        <f aca="false">#NULL!+#NULL!+#NULL!+#NULL!</f>
        <v>#N/A</v>
      </c>
      <c r="N38" s="9" t="e">
        <f aca="false">#NULL!+#NULL!+#NULL!</f>
        <v>#N/A</v>
      </c>
      <c r="O38" s="9" t="e">
        <f aca="false">#NULL!+#NULL!+#NULL!</f>
        <v>#N/A</v>
      </c>
      <c r="P38" s="9" t="e">
        <f aca="false">#NULL!+#NULL!+#NULL!</f>
        <v>#N/A</v>
      </c>
      <c r="Q38" s="9" t="e">
        <f aca="false">SUM(L38:P38)+G38</f>
        <v>#N/A</v>
      </c>
    </row>
    <row r="39" customFormat="false" ht="12" hidden="false" customHeight="true" outlineLevel="0" collapsed="false">
      <c r="A39" s="18" t="s">
        <v>62</v>
      </c>
      <c r="B39" s="9" t="n">
        <f aca="false"/>
        <v>413814</v>
      </c>
      <c r="C39" s="9" t="e">
        <f aca="false">#NULL!+#NULL!</f>
        <v>#N/A</v>
      </c>
      <c r="D39" s="9" t="e">
        <f aca="false">#NULL!+#NULL!</f>
        <v>#N/A</v>
      </c>
      <c r="E39" s="9" t="n">
        <f aca="false"/>
        <v>3243</v>
      </c>
      <c r="F39" s="9" t="e">
        <f aca="false">#NULL!+#NULL!+#NULL!+#NULL!</f>
        <v>#N/A</v>
      </c>
      <c r="G39" s="9" t="e">
        <f aca="false">SUM(B39:E39)</f>
        <v>#N/A</v>
      </c>
      <c r="H39" s="10" t="n">
        <f aca="false"/>
        <v>159452</v>
      </c>
      <c r="I39" s="9" t="e">
        <f aca="false">#NULL!+#NULL!</f>
        <v>#N/A</v>
      </c>
      <c r="J39" s="9" t="e">
        <f aca="false">#NULL!+#NULL!</f>
        <v>#N/A</v>
      </c>
      <c r="K39" s="9" t="n">
        <f aca="false"/>
        <v>0</v>
      </c>
      <c r="L39" s="9" t="e">
        <f aca="false">SUM(H39:K39)</f>
        <v>#N/A</v>
      </c>
      <c r="M39" s="10" t="e">
        <f aca="false">#NULL!+#NULL!+#NULL!+#NULL!</f>
        <v>#N/A</v>
      </c>
      <c r="N39" s="9" t="e">
        <f aca="false">#NULL!+#NULL!+#NULL!</f>
        <v>#N/A</v>
      </c>
      <c r="O39" s="9" t="e">
        <f aca="false">#NULL!+#NULL!+#NULL!</f>
        <v>#N/A</v>
      </c>
      <c r="P39" s="9" t="e">
        <f aca="false">#NULL!+#NULL!+#NULL!</f>
        <v>#N/A</v>
      </c>
      <c r="Q39" s="9" t="e">
        <f aca="false">SUM(L39:P39)+G39</f>
        <v>#N/A</v>
      </c>
    </row>
    <row r="40" customFormat="false" ht="12" hidden="false" customHeight="true" outlineLevel="0" collapsed="false">
      <c r="A40" s="18" t="s">
        <v>63</v>
      </c>
      <c r="B40" s="9" t="n">
        <f aca="false"/>
        <v>565655</v>
      </c>
      <c r="C40" s="9" t="e">
        <f aca="false">#NULL!+#NULL!</f>
        <v>#N/A</v>
      </c>
      <c r="D40" s="9" t="e">
        <f aca="false">#NULL!+#NULL!</f>
        <v>#N/A</v>
      </c>
      <c r="E40" s="9" t="n">
        <f aca="false"/>
        <v>7470</v>
      </c>
      <c r="F40" s="9" t="e">
        <f aca="false">#NULL!+#NULL!+#NULL!+#NULL!</f>
        <v>#N/A</v>
      </c>
      <c r="G40" s="9" t="e">
        <f aca="false">SUM(B40:E40)</f>
        <v>#N/A</v>
      </c>
      <c r="H40" s="10" t="n">
        <f aca="false"/>
        <v>56930</v>
      </c>
      <c r="I40" s="9" t="e">
        <f aca="false">#NULL!+#NULL!</f>
        <v>#N/A</v>
      </c>
      <c r="J40" s="9" t="e">
        <f aca="false">#NULL!+#NULL!</f>
        <v>#N/A</v>
      </c>
      <c r="K40" s="9" t="n">
        <f aca="false"/>
        <v>26</v>
      </c>
      <c r="L40" s="9" t="e">
        <f aca="false">SUM(H40:K40)</f>
        <v>#N/A</v>
      </c>
      <c r="M40" s="10" t="e">
        <f aca="false">#NULL!+#NULL!+#NULL!+#NULL!</f>
        <v>#N/A</v>
      </c>
      <c r="N40" s="9" t="e">
        <f aca="false">#NULL!+#NULL!+#NULL!</f>
        <v>#N/A</v>
      </c>
      <c r="O40" s="9" t="e">
        <f aca="false">#NULL!+#NULL!+#NULL!</f>
        <v>#N/A</v>
      </c>
      <c r="P40" s="9" t="e">
        <f aca="false">#NULL!+#NULL!+#NULL!</f>
        <v>#N/A</v>
      </c>
      <c r="Q40" s="9" t="e">
        <f aca="false">SUM(L40:P40)+G40</f>
        <v>#N/A</v>
      </c>
    </row>
    <row r="41" customFormat="false" ht="12" hidden="false" customHeight="true" outlineLevel="0" collapsed="false">
      <c r="A41" s="18" t="s">
        <v>64</v>
      </c>
      <c r="B41" s="9" t="n">
        <f aca="false"/>
        <v>146944</v>
      </c>
      <c r="C41" s="9" t="e">
        <f aca="false">#NULL!+#NULL!</f>
        <v>#N/A</v>
      </c>
      <c r="D41" s="9" t="e">
        <f aca="false">#NULL!+#NULL!</f>
        <v>#N/A</v>
      </c>
      <c r="E41" s="9" t="n">
        <f aca="false"/>
        <v>181</v>
      </c>
      <c r="F41" s="9" t="e">
        <f aca="false">#NULL!+#NULL!+#NULL!+#NULL!</f>
        <v>#N/A</v>
      </c>
      <c r="G41" s="9" t="e">
        <f aca="false">SUM(B41:E41)</f>
        <v>#N/A</v>
      </c>
      <c r="H41" s="10" t="n">
        <f aca="false"/>
        <v>102966</v>
      </c>
      <c r="I41" s="9" t="e">
        <f aca="false">#NULL!+#NULL!</f>
        <v>#N/A</v>
      </c>
      <c r="J41" s="9" t="e">
        <f aca="false">#NULL!+#NULL!</f>
        <v>#N/A</v>
      </c>
      <c r="K41" s="9" t="n">
        <f aca="false"/>
        <v>115</v>
      </c>
      <c r="L41" s="9" t="e">
        <f aca="false">SUM(H41:K41)</f>
        <v>#N/A</v>
      </c>
      <c r="M41" s="10" t="e">
        <f aca="false">#NULL!+#NULL!+#NULL!+#NULL!</f>
        <v>#N/A</v>
      </c>
      <c r="N41" s="9" t="e">
        <f aca="false">#NULL!+#NULL!+#NULL!</f>
        <v>#N/A</v>
      </c>
      <c r="O41" s="9" t="e">
        <f aca="false">#NULL!+#NULL!+#NULL!</f>
        <v>#N/A</v>
      </c>
      <c r="P41" s="9" t="e">
        <f aca="false">#NULL!+#NULL!+#NULL!</f>
        <v>#N/A</v>
      </c>
      <c r="Q41" s="9" t="e">
        <f aca="false">SUM(L41:P41)+G41</f>
        <v>#N/A</v>
      </c>
    </row>
    <row r="42" customFormat="false" ht="12" hidden="false" customHeight="true" outlineLevel="0" collapsed="false">
      <c r="A42" s="13"/>
      <c r="B42" s="13"/>
      <c r="C42" s="13"/>
      <c r="D42" s="13"/>
      <c r="E42" s="13"/>
      <c r="F42" s="13"/>
      <c r="G42" s="13"/>
      <c r="H42" s="15"/>
      <c r="I42" s="13"/>
      <c r="J42" s="13"/>
      <c r="K42" s="13"/>
      <c r="L42" s="13"/>
      <c r="M42" s="15"/>
      <c r="N42" s="13"/>
      <c r="O42" s="13"/>
      <c r="P42" s="13"/>
      <c r="Q42" s="13"/>
    </row>
    <row r="43" customFormat="false" ht="12" hidden="false" customHeight="true" outlineLevel="0" collapsed="false">
      <c r="A43" s="6"/>
      <c r="B43" s="6"/>
      <c r="C43" s="6"/>
      <c r="D43" s="6"/>
      <c r="E43" s="6"/>
      <c r="F43" s="6"/>
      <c r="G43" s="6"/>
      <c r="H43" s="17"/>
      <c r="I43" s="6"/>
      <c r="J43" s="6"/>
      <c r="K43" s="6"/>
      <c r="L43" s="6"/>
      <c r="M43" s="17"/>
      <c r="N43" s="6"/>
      <c r="O43" s="6"/>
      <c r="P43" s="6"/>
      <c r="Q43" s="6"/>
    </row>
    <row r="44" customFormat="false" ht="12" hidden="false" customHeight="true" outlineLevel="0" collapsed="false">
      <c r="A44" s="18" t="s">
        <v>65</v>
      </c>
      <c r="B44" s="9" t="n">
        <f aca="false"/>
        <v>724895</v>
      </c>
      <c r="C44" s="9" t="e">
        <f aca="false">#NULL!+#NULL!</f>
        <v>#N/A</v>
      </c>
      <c r="D44" s="9" t="e">
        <f aca="false">#NULL!+#NULL!</f>
        <v>#N/A</v>
      </c>
      <c r="E44" s="9" t="n">
        <f aca="false"/>
        <v>11620</v>
      </c>
      <c r="F44" s="9" t="e">
        <f aca="false">#NULL!+#NULL!+#NULL!+#NULL!</f>
        <v>#N/A</v>
      </c>
      <c r="G44" s="9" t="e">
        <f aca="false">SUM(B44:E44)</f>
        <v>#N/A</v>
      </c>
      <c r="H44" s="10" t="n">
        <f aca="false"/>
        <v>150254</v>
      </c>
      <c r="I44" s="9" t="e">
        <f aca="false">#NULL!+#NULL!</f>
        <v>#N/A</v>
      </c>
      <c r="J44" s="9" t="e">
        <f aca="false">#NULL!+#NULL!</f>
        <v>#N/A</v>
      </c>
      <c r="K44" s="9" t="n">
        <f aca="false"/>
        <v>0</v>
      </c>
      <c r="L44" s="9" t="e">
        <f aca="false">SUM(H44:K44)</f>
        <v>#N/A</v>
      </c>
      <c r="M44" s="10" t="e">
        <f aca="false">#NULL!+#NULL!+#NULL!+#NULL!</f>
        <v>#N/A</v>
      </c>
      <c r="N44" s="9" t="e">
        <f aca="false">#NULL!+#NULL!+#NULL!</f>
        <v>#N/A</v>
      </c>
      <c r="O44" s="9" t="e">
        <f aca="false">#NULL!+#NULL!+#NULL!</f>
        <v>#N/A</v>
      </c>
      <c r="P44" s="9" t="e">
        <f aca="false">#NULL!+#NULL!+#NULL!</f>
        <v>#N/A</v>
      </c>
      <c r="Q44" s="9" t="e">
        <f aca="false">SUM(L44:P44)+G44</f>
        <v>#N/A</v>
      </c>
    </row>
    <row r="45" customFormat="false" ht="12" hidden="false" customHeight="true" outlineLevel="0" collapsed="false">
      <c r="A45" s="18" t="s">
        <v>66</v>
      </c>
      <c r="B45" s="9" t="n">
        <f aca="false"/>
        <v>347166</v>
      </c>
      <c r="C45" s="9" t="e">
        <f aca="false">#NULL!+#NULL!</f>
        <v>#N/A</v>
      </c>
      <c r="D45" s="9" t="e">
        <f aca="false">#NULL!+#NULL!</f>
        <v>#N/A</v>
      </c>
      <c r="E45" s="9" t="n">
        <f aca="false"/>
        <v>458</v>
      </c>
      <c r="F45" s="9" t="e">
        <f aca="false">#NULL!+#NULL!+#NULL!+#NULL!</f>
        <v>#N/A</v>
      </c>
      <c r="G45" s="9" t="e">
        <f aca="false">SUM(B45:E45)</f>
        <v>#N/A</v>
      </c>
      <c r="H45" s="10" t="n">
        <f aca="false"/>
        <v>153548</v>
      </c>
      <c r="I45" s="9" t="e">
        <f aca="false">#NULL!+#NULL!</f>
        <v>#N/A</v>
      </c>
      <c r="J45" s="9" t="e">
        <f aca="false">#NULL!+#NULL!</f>
        <v>#N/A</v>
      </c>
      <c r="K45" s="9" t="n">
        <f aca="false"/>
        <v>0</v>
      </c>
      <c r="L45" s="9" t="e">
        <f aca="false">SUM(H45:K45)</f>
        <v>#N/A</v>
      </c>
      <c r="M45" s="10" t="e">
        <f aca="false">#NULL!+#NULL!+#NULL!+#NULL!</f>
        <v>#N/A</v>
      </c>
      <c r="N45" s="9" t="e">
        <f aca="false">#NULL!+#NULL!+#NULL!</f>
        <v>#N/A</v>
      </c>
      <c r="O45" s="9" t="e">
        <f aca="false">#NULL!+#NULL!+#NULL!</f>
        <v>#N/A</v>
      </c>
      <c r="P45" s="9" t="e">
        <f aca="false">#NULL!+#NULL!+#NULL!</f>
        <v>#N/A</v>
      </c>
      <c r="Q45" s="9" t="e">
        <f aca="false">SUM(L45:P45)+G45</f>
        <v>#N/A</v>
      </c>
    </row>
    <row r="46" customFormat="false" ht="12" hidden="false" customHeight="true" outlineLevel="0" collapsed="false">
      <c r="A46" s="18" t="s">
        <v>67</v>
      </c>
      <c r="B46" s="9" t="n">
        <f aca="false"/>
        <v>490658</v>
      </c>
      <c r="C46" s="9" t="e">
        <f aca="false">#NULL!+#NULL!</f>
        <v>#N/A</v>
      </c>
      <c r="D46" s="9" t="e">
        <f aca="false">#NULL!+#NULL!</f>
        <v>#N/A</v>
      </c>
      <c r="E46" s="9" t="n">
        <f aca="false"/>
        <v>1214</v>
      </c>
      <c r="F46" s="9" t="e">
        <f aca="false">#NULL!+#NULL!+#NULL!+#NULL!</f>
        <v>#N/A</v>
      </c>
      <c r="G46" s="9" t="e">
        <f aca="false">SUM(B46:E46)</f>
        <v>#N/A</v>
      </c>
      <c r="H46" s="10" t="n">
        <f aca="false"/>
        <v>135130</v>
      </c>
      <c r="I46" s="9" t="e">
        <f aca="false">#NULL!+#NULL!</f>
        <v>#N/A</v>
      </c>
      <c r="J46" s="9" t="e">
        <f aca="false">#NULL!+#NULL!</f>
        <v>#N/A</v>
      </c>
      <c r="K46" s="9" t="n">
        <f aca="false"/>
        <v>10</v>
      </c>
      <c r="L46" s="9" t="e">
        <f aca="false">SUM(H46:K46)</f>
        <v>#N/A</v>
      </c>
      <c r="M46" s="10" t="e">
        <f aca="false">#NULL!+#NULL!+#NULL!+#NULL!</f>
        <v>#N/A</v>
      </c>
      <c r="N46" s="9" t="e">
        <f aca="false">#NULL!+#NULL!+#NULL!</f>
        <v>#N/A</v>
      </c>
      <c r="O46" s="9" t="e">
        <f aca="false">#NULL!+#NULL!+#NULL!</f>
        <v>#N/A</v>
      </c>
      <c r="P46" s="9" t="e">
        <f aca="false">#NULL!+#NULL!+#NULL!</f>
        <v>#N/A</v>
      </c>
      <c r="Q46" s="9" t="e">
        <f aca="false">SUM(L46:P46)+G46</f>
        <v>#N/A</v>
      </c>
    </row>
    <row r="47" customFormat="false" ht="12" hidden="false" customHeight="true" outlineLevel="0" collapsed="false">
      <c r="A47" s="18" t="s">
        <v>68</v>
      </c>
      <c r="B47" s="9" t="n">
        <f aca="false"/>
        <v>552471</v>
      </c>
      <c r="C47" s="9" t="e">
        <f aca="false">#NULL!+#NULL!</f>
        <v>#N/A</v>
      </c>
      <c r="D47" s="9" t="e">
        <f aca="false">#NULL!+#NULL!</f>
        <v>#N/A</v>
      </c>
      <c r="E47" s="9" t="n">
        <f aca="false"/>
        <v>131</v>
      </c>
      <c r="F47" s="9" t="e">
        <f aca="false">#NULL!+#NULL!+#NULL!+#NULL!</f>
        <v>#N/A</v>
      </c>
      <c r="G47" s="9" t="e">
        <f aca="false">SUM(B47:E47)</f>
        <v>#N/A</v>
      </c>
      <c r="H47" s="10" t="n">
        <f aca="false"/>
        <v>126427</v>
      </c>
      <c r="I47" s="9" t="e">
        <f aca="false">#NULL!+#NULL!</f>
        <v>#N/A</v>
      </c>
      <c r="J47" s="9" t="e">
        <f aca="false">#NULL!+#NULL!</f>
        <v>#N/A</v>
      </c>
      <c r="K47" s="9" t="n">
        <f aca="false"/>
        <v>1114</v>
      </c>
      <c r="L47" s="9" t="e">
        <f aca="false">SUM(H47:K47)</f>
        <v>#N/A</v>
      </c>
      <c r="M47" s="10" t="e">
        <f aca="false">#NULL!+#NULL!+#NULL!+#NULL!</f>
        <v>#N/A</v>
      </c>
      <c r="N47" s="9" t="e">
        <f aca="false">#NULL!+#NULL!+#NULL!</f>
        <v>#N/A</v>
      </c>
      <c r="O47" s="9" t="e">
        <f aca="false">#NULL!+#NULL!+#NULL!</f>
        <v>#N/A</v>
      </c>
      <c r="P47" s="9" t="e">
        <f aca="false">#NULL!+#NULL!+#NULL!</f>
        <v>#N/A</v>
      </c>
      <c r="Q47" s="9" t="e">
        <f aca="false">SUM(L47:P47)+G47</f>
        <v>#N/A</v>
      </c>
    </row>
    <row r="48" customFormat="false" ht="12" hidden="false" customHeight="true" outlineLevel="0" collapsed="false">
      <c r="A48" s="13"/>
      <c r="B48" s="13"/>
      <c r="C48" s="13"/>
      <c r="D48" s="13"/>
      <c r="E48" s="13"/>
      <c r="F48" s="13"/>
      <c r="G48" s="13"/>
      <c r="H48" s="15"/>
      <c r="I48" s="13"/>
      <c r="J48" s="13"/>
      <c r="K48" s="13"/>
      <c r="L48" s="13"/>
      <c r="M48" s="15"/>
      <c r="N48" s="13"/>
      <c r="O48" s="13"/>
      <c r="P48" s="13"/>
      <c r="Q48" s="13"/>
    </row>
    <row r="49" customFormat="false" ht="12" hidden="false" customHeight="true" outlineLevel="0" collapsed="false">
      <c r="A49" s="6"/>
      <c r="B49" s="6"/>
      <c r="C49" s="6"/>
      <c r="D49" s="6"/>
      <c r="E49" s="6"/>
      <c r="F49" s="6"/>
      <c r="G49" s="6"/>
      <c r="H49" s="17"/>
      <c r="I49" s="6"/>
      <c r="J49" s="6"/>
      <c r="K49" s="6"/>
      <c r="L49" s="6"/>
      <c r="M49" s="17"/>
      <c r="N49" s="6"/>
      <c r="O49" s="6"/>
      <c r="P49" s="6"/>
      <c r="Q49" s="6"/>
    </row>
    <row r="50" customFormat="false" ht="12" hidden="false" customHeight="true" outlineLevel="0" collapsed="false">
      <c r="A50" s="18" t="s">
        <v>69</v>
      </c>
      <c r="B50" s="9" t="n">
        <f aca="false"/>
        <v>237337</v>
      </c>
      <c r="C50" s="9" t="e">
        <f aca="false">#NULL!+#NULL!</f>
        <v>#N/A</v>
      </c>
      <c r="D50" s="9" t="e">
        <f aca="false">#NULL!+#NULL!</f>
        <v>#N/A</v>
      </c>
      <c r="E50" s="9" t="n">
        <f aca="false"/>
        <v>1252</v>
      </c>
      <c r="F50" s="9" t="e">
        <f aca="false">#NULL!+#NULL!+#NULL!+#NULL!</f>
        <v>#N/A</v>
      </c>
      <c r="G50" s="9" t="e">
        <f aca="false">SUM(B50:E50)</f>
        <v>#N/A</v>
      </c>
      <c r="H50" s="10" t="n">
        <f aca="false"/>
        <v>51396</v>
      </c>
      <c r="I50" s="9" t="e">
        <f aca="false">#NULL!+#NULL!</f>
        <v>#N/A</v>
      </c>
      <c r="J50" s="9" t="e">
        <f aca="false">#NULL!+#NULL!</f>
        <v>#N/A</v>
      </c>
      <c r="K50" s="9" t="n">
        <f aca="false"/>
        <v>466</v>
      </c>
      <c r="L50" s="9" t="e">
        <f aca="false">SUM(H50:K50)</f>
        <v>#N/A</v>
      </c>
      <c r="M50" s="10" t="e">
        <f aca="false">#NULL!+#NULL!+#NULL!+#NULL!</f>
        <v>#N/A</v>
      </c>
      <c r="N50" s="9" t="e">
        <f aca="false">#NULL!+#NULL!+#NULL!</f>
        <v>#N/A</v>
      </c>
      <c r="O50" s="9" t="e">
        <f aca="false">#NULL!+#NULL!+#NULL!</f>
        <v>#N/A</v>
      </c>
      <c r="P50" s="9" t="e">
        <f aca="false">#NULL!+#NULL!+#NULL!</f>
        <v>#N/A</v>
      </c>
      <c r="Q50" s="9" t="e">
        <f aca="false">SUM(L50:P50)+G50</f>
        <v>#N/A</v>
      </c>
    </row>
    <row r="51" customFormat="false" ht="12" hidden="false" customHeight="true" outlineLevel="0" collapsed="false">
      <c r="A51" s="18" t="s">
        <v>70</v>
      </c>
      <c r="B51" s="9" t="n">
        <f aca="false"/>
        <v>379344</v>
      </c>
      <c r="C51" s="9" t="e">
        <f aca="false">#NULL!+#NULL!</f>
        <v>#N/A</v>
      </c>
      <c r="D51" s="9" t="e">
        <f aca="false">#NULL!+#NULL!</f>
        <v>#N/A</v>
      </c>
      <c r="E51" s="9" t="n">
        <f aca="false"/>
        <v>3913</v>
      </c>
      <c r="F51" s="9" t="e">
        <f aca="false">#NULL!+#NULL!+#NULL!+#NULL!</f>
        <v>#N/A</v>
      </c>
      <c r="G51" s="9" t="e">
        <f aca="false">SUM(B51:E51)</f>
        <v>#N/A</v>
      </c>
      <c r="H51" s="10" t="n">
        <f aca="false"/>
        <v>201892</v>
      </c>
      <c r="I51" s="9" t="e">
        <f aca="false">#NULL!+#NULL!</f>
        <v>#N/A</v>
      </c>
      <c r="J51" s="9" t="e">
        <f aca="false">#NULL!+#NULL!</f>
        <v>#N/A</v>
      </c>
      <c r="K51" s="9" t="n">
        <f aca="false"/>
        <v>0</v>
      </c>
      <c r="L51" s="9" t="e">
        <f aca="false">SUM(H51:K51)</f>
        <v>#N/A</v>
      </c>
      <c r="M51" s="10" t="e">
        <f aca="false">#NULL!+#NULL!+#NULL!+#NULL!</f>
        <v>#N/A</v>
      </c>
      <c r="N51" s="9" t="e">
        <f aca="false">#NULL!+#NULL!+#NULL!</f>
        <v>#N/A</v>
      </c>
      <c r="O51" s="9" t="e">
        <f aca="false">#NULL!+#NULL!+#NULL!</f>
        <v>#N/A</v>
      </c>
      <c r="P51" s="9" t="e">
        <f aca="false">#NULL!+#NULL!+#NULL!</f>
        <v>#N/A</v>
      </c>
      <c r="Q51" s="9" t="e">
        <f aca="false">SUM(L51:P51)+G51</f>
        <v>#N/A</v>
      </c>
    </row>
    <row r="52" customFormat="false" ht="12" hidden="false" customHeight="true" outlineLevel="0" collapsed="false">
      <c r="A52" s="18" t="s">
        <v>71</v>
      </c>
      <c r="B52" s="9" t="n">
        <f aca="false"/>
        <v>191081</v>
      </c>
      <c r="C52" s="9" t="e">
        <f aca="false">#NULL!+#NULL!</f>
        <v>#N/A</v>
      </c>
      <c r="D52" s="9" t="e">
        <f aca="false">#NULL!+#NULL!</f>
        <v>#N/A</v>
      </c>
      <c r="E52" s="9" t="n">
        <f aca="false"/>
        <v>6095</v>
      </c>
      <c r="F52" s="9" t="e">
        <f aca="false">#NULL!+#NULL!+#NULL!+#NULL!</f>
        <v>#N/A</v>
      </c>
      <c r="G52" s="9" t="e">
        <f aca="false">SUM(B52:E52)</f>
        <v>#N/A</v>
      </c>
      <c r="H52" s="10" t="n">
        <f aca="false"/>
        <v>46207</v>
      </c>
      <c r="I52" s="9" t="e">
        <f aca="false">#NULL!+#NULL!</f>
        <v>#N/A</v>
      </c>
      <c r="J52" s="9" t="e">
        <f aca="false">#NULL!+#NULL!</f>
        <v>#N/A</v>
      </c>
      <c r="K52" s="9" t="n">
        <f aca="false"/>
        <v>2909</v>
      </c>
      <c r="L52" s="9" t="e">
        <f aca="false">SUM(H52:K52)</f>
        <v>#N/A</v>
      </c>
      <c r="M52" s="10" t="e">
        <f aca="false">#NULL!+#NULL!+#NULL!+#NULL!</f>
        <v>#N/A</v>
      </c>
      <c r="N52" s="9" t="e">
        <f aca="false">#NULL!+#NULL!+#NULL!</f>
        <v>#N/A</v>
      </c>
      <c r="O52" s="9" t="e">
        <f aca="false">#NULL!+#NULL!+#NULL!</f>
        <v>#N/A</v>
      </c>
      <c r="P52" s="9" t="e">
        <f aca="false">#NULL!+#NULL!+#NULL!</f>
        <v>#N/A</v>
      </c>
      <c r="Q52" s="9" t="e">
        <f aca="false">SUM(L52:P52)+G52</f>
        <v>#N/A</v>
      </c>
    </row>
    <row r="53" customFormat="false" ht="12" hidden="false" customHeight="true" outlineLevel="0" collapsed="false">
      <c r="A53" s="18" t="s">
        <v>72</v>
      </c>
      <c r="B53" s="9" t="n">
        <f aca="false"/>
        <v>220778</v>
      </c>
      <c r="C53" s="9" t="e">
        <f aca="false">#NULL!+#NULL!</f>
        <v>#N/A</v>
      </c>
      <c r="D53" s="9" t="e">
        <f aca="false">#NULL!+#NULL!</f>
        <v>#N/A</v>
      </c>
      <c r="E53" s="9" t="n">
        <f aca="false"/>
        <v>3810</v>
      </c>
      <c r="F53" s="9" t="e">
        <f aca="false">#NULL!+#NULL!+#NULL!+#NULL!</f>
        <v>#N/A</v>
      </c>
      <c r="G53" s="9" t="e">
        <f aca="false">SUM(B53:E53)</f>
        <v>#N/A</v>
      </c>
      <c r="H53" s="10" t="n">
        <f aca="false"/>
        <v>47940</v>
      </c>
      <c r="I53" s="9" t="e">
        <f aca="false">#NULL!+#NULL!</f>
        <v>#N/A</v>
      </c>
      <c r="J53" s="9" t="e">
        <f aca="false">#NULL!+#NULL!</f>
        <v>#N/A</v>
      </c>
      <c r="K53" s="9" t="n">
        <f aca="false"/>
        <v>253</v>
      </c>
      <c r="L53" s="9" t="e">
        <f aca="false">SUM(H53:K53)</f>
        <v>#N/A</v>
      </c>
      <c r="M53" s="10" t="e">
        <f aca="false">#NULL!+#NULL!+#NULL!+#NULL!</f>
        <v>#N/A</v>
      </c>
      <c r="N53" s="9" t="e">
        <f aca="false">#NULL!+#NULL!+#NULL!</f>
        <v>#N/A</v>
      </c>
      <c r="O53" s="9" t="e">
        <f aca="false">#NULL!+#NULL!+#NULL!</f>
        <v>#N/A</v>
      </c>
      <c r="P53" s="9" t="e">
        <f aca="false">#NULL!+#NULL!+#NULL!</f>
        <v>#N/A</v>
      </c>
      <c r="Q53" s="9" t="e">
        <f aca="false">SUM(L53:P53)+G53</f>
        <v>#N/A</v>
      </c>
    </row>
    <row r="54" customFormat="false" ht="12" hidden="false" customHeight="true" outlineLevel="0" collapsed="false">
      <c r="A54" s="13"/>
      <c r="B54" s="13"/>
      <c r="C54" s="13"/>
      <c r="D54" s="13"/>
      <c r="E54" s="13"/>
      <c r="F54" s="13"/>
      <c r="G54" s="13"/>
      <c r="H54" s="15"/>
      <c r="I54" s="13"/>
      <c r="J54" s="13"/>
      <c r="K54" s="13"/>
      <c r="L54" s="13"/>
      <c r="M54" s="15"/>
      <c r="N54" s="13"/>
      <c r="O54" s="13"/>
      <c r="P54" s="13"/>
      <c r="Q54" s="13"/>
    </row>
    <row r="55" customFormat="false" ht="12" hidden="false" customHeight="true" outlineLevel="0" collapsed="false">
      <c r="A55" s="6"/>
      <c r="B55" s="6"/>
      <c r="C55" s="6"/>
      <c r="D55" s="6"/>
      <c r="E55" s="6"/>
      <c r="F55" s="6"/>
      <c r="G55" s="6"/>
      <c r="H55" s="17"/>
      <c r="I55" s="6"/>
      <c r="J55" s="6"/>
      <c r="K55" s="6"/>
      <c r="L55" s="6"/>
      <c r="M55" s="17"/>
      <c r="N55" s="6"/>
      <c r="O55" s="6"/>
      <c r="P55" s="6"/>
      <c r="Q55" s="6"/>
    </row>
    <row r="56" customFormat="false" ht="12" hidden="false" customHeight="true" outlineLevel="0" collapsed="false">
      <c r="A56" s="18" t="s">
        <v>73</v>
      </c>
      <c r="B56" s="9" t="n">
        <f aca="false"/>
        <v>165652</v>
      </c>
      <c r="C56" s="9" t="e">
        <f aca="false">#NULL!+#NULL!</f>
        <v>#N/A</v>
      </c>
      <c r="D56" s="9" t="e">
        <f aca="false">#NULL!+#NULL!</f>
        <v>#N/A</v>
      </c>
      <c r="E56" s="9" t="n">
        <f aca="false"/>
        <v>6855</v>
      </c>
      <c r="F56" s="9" t="e">
        <f aca="false">#NULL!+#NULL!+#NULL!+#NULL!</f>
        <v>#N/A</v>
      </c>
      <c r="G56" s="9" t="e">
        <f aca="false">SUM(B56:E56)</f>
        <v>#N/A</v>
      </c>
      <c r="H56" s="10" t="n">
        <f aca="false"/>
        <v>49642</v>
      </c>
      <c r="I56" s="9" t="e">
        <f aca="false">#NULL!+#NULL!</f>
        <v>#N/A</v>
      </c>
      <c r="J56" s="9" t="e">
        <f aca="false">#NULL!+#NULL!</f>
        <v>#N/A</v>
      </c>
      <c r="K56" s="9" t="n">
        <f aca="false"/>
        <v>973</v>
      </c>
      <c r="L56" s="9" t="e">
        <f aca="false">SUM(H56:K56)</f>
        <v>#N/A</v>
      </c>
      <c r="M56" s="10" t="e">
        <f aca="false">#NULL!+#NULL!+#NULL!+#NULL!</f>
        <v>#N/A</v>
      </c>
      <c r="N56" s="9" t="e">
        <f aca="false">#NULL!+#NULL!+#NULL!</f>
        <v>#N/A</v>
      </c>
      <c r="O56" s="9" t="e">
        <f aca="false">#NULL!+#NULL!+#NULL!</f>
        <v>#N/A</v>
      </c>
      <c r="P56" s="9" t="e">
        <f aca="false">#NULL!+#NULL!+#NULL!</f>
        <v>#N/A</v>
      </c>
      <c r="Q56" s="9" t="e">
        <f aca="false">SUM(L56:P56)+G56</f>
        <v>#N/A</v>
      </c>
    </row>
    <row r="57" customFormat="false" ht="12" hidden="false" customHeight="true" outlineLevel="0" collapsed="false">
      <c r="A57" s="18" t="s">
        <v>74</v>
      </c>
      <c r="B57" s="9" t="n">
        <f aca="false"/>
        <v>83173</v>
      </c>
      <c r="C57" s="9" t="e">
        <f aca="false">#NULL!+#NULL!</f>
        <v>#N/A</v>
      </c>
      <c r="D57" s="9" t="e">
        <f aca="false">#NULL!+#NULL!</f>
        <v>#N/A</v>
      </c>
      <c r="E57" s="9" t="n">
        <f aca="false"/>
        <v>5</v>
      </c>
      <c r="F57" s="9" t="e">
        <f aca="false">#NULL!+#NULL!+#NULL!+#NULL!</f>
        <v>#N/A</v>
      </c>
      <c r="G57" s="9" t="e">
        <f aca="false">SUM(B57:E57)</f>
        <v>#N/A</v>
      </c>
      <c r="H57" s="10" t="n">
        <f aca="false"/>
        <v>83583</v>
      </c>
      <c r="I57" s="9" t="e">
        <f aca="false">#NULL!+#NULL!</f>
        <v>#N/A</v>
      </c>
      <c r="J57" s="9" t="e">
        <f aca="false">#NULL!+#NULL!</f>
        <v>#N/A</v>
      </c>
      <c r="K57" s="9" t="n">
        <f aca="false"/>
        <v>0</v>
      </c>
      <c r="L57" s="9" t="e">
        <f aca="false">SUM(H57:K57)</f>
        <v>#N/A</v>
      </c>
      <c r="M57" s="10" t="e">
        <f aca="false">#NULL!+#NULL!+#NULL!+#NULL!</f>
        <v>#N/A</v>
      </c>
      <c r="N57" s="9" t="e">
        <f aca="false">#NULL!+#NULL!+#NULL!</f>
        <v>#N/A</v>
      </c>
      <c r="O57" s="9" t="e">
        <f aca="false">#NULL!+#NULL!+#NULL!</f>
        <v>#N/A</v>
      </c>
      <c r="P57" s="9" t="e">
        <f aca="false">#NULL!+#NULL!+#NULL!</f>
        <v>#N/A</v>
      </c>
      <c r="Q57" s="9" t="e">
        <f aca="false">SUM(L57:P57)+G57</f>
        <v>#N/A</v>
      </c>
    </row>
    <row r="58" customFormat="false" ht="12" hidden="false" customHeight="true" outlineLevel="0" collapsed="false">
      <c r="A58" s="18" t="s">
        <v>75</v>
      </c>
      <c r="B58" s="9" t="n">
        <f aca="false"/>
        <v>668398</v>
      </c>
      <c r="C58" s="9" t="e">
        <f aca="false">#NULL!+#NULL!</f>
        <v>#N/A</v>
      </c>
      <c r="D58" s="9" t="e">
        <f aca="false">#NULL!+#NULL!</f>
        <v>#N/A</v>
      </c>
      <c r="E58" s="9" t="n">
        <f aca="false"/>
        <v>93</v>
      </c>
      <c r="F58" s="9" t="e">
        <f aca="false">#NULL!+#NULL!+#NULL!+#NULL!</f>
        <v>#N/A</v>
      </c>
      <c r="G58" s="9" t="e">
        <f aca="false">SUM(B58:E58)</f>
        <v>#N/A</v>
      </c>
      <c r="H58" s="10" t="n">
        <f aca="false"/>
        <v>288498</v>
      </c>
      <c r="I58" s="9" t="e">
        <f aca="false">#NULL!+#NULL!</f>
        <v>#N/A</v>
      </c>
      <c r="J58" s="9" t="e">
        <f aca="false">#NULL!+#NULL!</f>
        <v>#N/A</v>
      </c>
      <c r="K58" s="9" t="n">
        <f aca="false"/>
        <v>0</v>
      </c>
      <c r="L58" s="9" t="e">
        <f aca="false">SUM(H58:K58)</f>
        <v>#N/A</v>
      </c>
      <c r="M58" s="10" t="e">
        <f aca="false">#NULL!+#NULL!+#NULL!+#NULL!</f>
        <v>#N/A</v>
      </c>
      <c r="N58" s="9" t="e">
        <f aca="false">#NULL!+#NULL!+#NULL!</f>
        <v>#N/A</v>
      </c>
      <c r="O58" s="9" t="e">
        <f aca="false">#NULL!+#NULL!+#NULL!</f>
        <v>#N/A</v>
      </c>
      <c r="P58" s="9" t="e">
        <f aca="false">#NULL!+#NULL!+#NULL!</f>
        <v>#N/A</v>
      </c>
      <c r="Q58" s="9" t="e">
        <f aca="false">SUM(L58:P58)+G58</f>
        <v>#N/A</v>
      </c>
    </row>
    <row r="59" customFormat="false" ht="12" hidden="false" customHeight="true" outlineLevel="0" collapsed="false">
      <c r="A59" s="18" t="s">
        <v>76</v>
      </c>
      <c r="B59" s="9" t="n">
        <f aca="false"/>
        <v>234205</v>
      </c>
      <c r="C59" s="9" t="e">
        <f aca="false">#NULL!+#NULL!</f>
        <v>#N/A</v>
      </c>
      <c r="D59" s="9" t="e">
        <f aca="false">#NULL!+#NULL!</f>
        <v>#N/A</v>
      </c>
      <c r="E59" s="9" t="n">
        <f aca="false"/>
        <v>3517</v>
      </c>
      <c r="F59" s="9" t="e">
        <f aca="false">#NULL!+#NULL!+#NULL!+#NULL!</f>
        <v>#N/A</v>
      </c>
      <c r="G59" s="9" t="e">
        <f aca="false">SUM(B59:E59)</f>
        <v>#N/A</v>
      </c>
      <c r="H59" s="10" t="n">
        <f aca="false"/>
        <v>59222</v>
      </c>
      <c r="I59" s="9" t="e">
        <f aca="false">#NULL!+#NULL!</f>
        <v>#N/A</v>
      </c>
      <c r="J59" s="9" t="e">
        <f aca="false">#NULL!+#NULL!</f>
        <v>#N/A</v>
      </c>
      <c r="K59" s="9" t="n">
        <f aca="false"/>
        <v>5890</v>
      </c>
      <c r="L59" s="9" t="e">
        <f aca="false">SUM(H59:K59)</f>
        <v>#N/A</v>
      </c>
      <c r="M59" s="10" t="e">
        <f aca="false">#NULL!+#NULL!+#NULL!+#NULL!</f>
        <v>#N/A</v>
      </c>
      <c r="N59" s="9" t="e">
        <f aca="false">#NULL!+#NULL!+#NULL!</f>
        <v>#N/A</v>
      </c>
      <c r="O59" s="9" t="e">
        <f aca="false">#NULL!+#NULL!+#NULL!</f>
        <v>#N/A</v>
      </c>
      <c r="P59" s="9" t="e">
        <f aca="false">#NULL!+#NULL!+#NULL!</f>
        <v>#N/A</v>
      </c>
      <c r="Q59" s="9" t="e">
        <f aca="false">SUM(L59:P59)+G59</f>
        <v>#N/A</v>
      </c>
    </row>
    <row r="60" customFormat="false" ht="12" hidden="false" customHeight="true" outlineLevel="0" collapsed="false">
      <c r="A60" s="13"/>
      <c r="B60" s="13"/>
      <c r="C60" s="13"/>
      <c r="D60" s="13"/>
      <c r="E60" s="13"/>
      <c r="F60" s="13"/>
      <c r="G60" s="13"/>
      <c r="H60" s="15"/>
      <c r="I60" s="13"/>
      <c r="J60" s="13"/>
      <c r="K60" s="13"/>
      <c r="L60" s="13"/>
      <c r="M60" s="15"/>
      <c r="N60" s="13"/>
      <c r="O60" s="13"/>
      <c r="P60" s="13"/>
      <c r="Q60" s="13"/>
    </row>
    <row r="61" customFormat="false" ht="12" hidden="false" customHeight="true" outlineLevel="0" collapsed="false">
      <c r="A61" s="6"/>
      <c r="B61" s="6"/>
      <c r="C61" s="6"/>
      <c r="D61" s="6"/>
      <c r="E61" s="6"/>
      <c r="F61" s="6"/>
      <c r="G61" s="6"/>
      <c r="H61" s="17"/>
      <c r="I61" s="6"/>
      <c r="J61" s="6"/>
      <c r="K61" s="6"/>
      <c r="L61" s="6"/>
      <c r="M61" s="17"/>
      <c r="N61" s="6"/>
      <c r="O61" s="6"/>
      <c r="P61" s="6"/>
      <c r="Q61" s="6"/>
    </row>
    <row r="62" customFormat="false" ht="12" hidden="false" customHeight="true" outlineLevel="0" collapsed="false">
      <c r="A62" s="18" t="s">
        <v>77</v>
      </c>
      <c r="B62" s="9" t="n">
        <f aca="false"/>
        <v>1377928</v>
      </c>
      <c r="C62" s="9" t="e">
        <f aca="false">#NULL!+#NULL!</f>
        <v>#N/A</v>
      </c>
      <c r="D62" s="9" t="e">
        <f aca="false">#NULL!+#NULL!</f>
        <v>#N/A</v>
      </c>
      <c r="E62" s="9" t="n">
        <f aca="false"/>
        <v>78</v>
      </c>
      <c r="F62" s="9" t="e">
        <f aca="false">#NULL!+#NULL!+#NULL!+#NULL!</f>
        <v>#N/A</v>
      </c>
      <c r="G62" s="9" t="e">
        <f aca="false">SUM(B62:E62)</f>
        <v>#N/A</v>
      </c>
      <c r="H62" s="10" t="n">
        <f aca="false"/>
        <v>487875</v>
      </c>
      <c r="I62" s="9" t="e">
        <f aca="false">#NULL!+#NULL!</f>
        <v>#N/A</v>
      </c>
      <c r="J62" s="9" t="e">
        <f aca="false">#NULL!+#NULL!</f>
        <v>#N/A</v>
      </c>
      <c r="K62" s="9" t="n">
        <f aca="false"/>
        <v>74</v>
      </c>
      <c r="L62" s="9" t="e">
        <f aca="false">SUM(H62:K62)</f>
        <v>#N/A</v>
      </c>
      <c r="M62" s="10" t="e">
        <f aca="false">#NULL!+#NULL!+#NULL!+#NULL!</f>
        <v>#N/A</v>
      </c>
      <c r="N62" s="9" t="e">
        <f aca="false">#NULL!+#NULL!+#NULL!</f>
        <v>#N/A</v>
      </c>
      <c r="O62" s="9" t="e">
        <f aca="false">#NULL!+#NULL!+#NULL!</f>
        <v>#N/A</v>
      </c>
      <c r="P62" s="9" t="e">
        <f aca="false">#NULL!+#NULL!+#NULL!</f>
        <v>#N/A</v>
      </c>
      <c r="Q62" s="9" t="e">
        <f aca="false">SUM(L62:P62)+G62</f>
        <v>#N/A</v>
      </c>
    </row>
    <row r="63" customFormat="false" ht="12" hidden="false" customHeight="true" outlineLevel="0" collapsed="false">
      <c r="A63" s="18" t="s">
        <v>78</v>
      </c>
      <c r="B63" s="9" t="n">
        <f aca="false"/>
        <v>718536</v>
      </c>
      <c r="C63" s="9" t="e">
        <f aca="false">#NULL!+#NULL!</f>
        <v>#N/A</v>
      </c>
      <c r="D63" s="9" t="e">
        <f aca="false">#NULL!+#NULL!</f>
        <v>#N/A</v>
      </c>
      <c r="E63" s="9" t="n">
        <f aca="false"/>
        <v>7823</v>
      </c>
      <c r="F63" s="9" t="e">
        <f aca="false">#NULL!+#NULL!+#NULL!+#NULL!</f>
        <v>#N/A</v>
      </c>
      <c r="G63" s="9" t="e">
        <f aca="false">SUM(B63:E63)</f>
        <v>#N/A</v>
      </c>
      <c r="H63" s="10" t="n">
        <f aca="false"/>
        <v>362808</v>
      </c>
      <c r="I63" s="9" t="e">
        <f aca="false">#NULL!+#NULL!</f>
        <v>#N/A</v>
      </c>
      <c r="J63" s="9" t="e">
        <f aca="false">#NULL!+#NULL!</f>
        <v>#N/A</v>
      </c>
      <c r="K63" s="9" t="n">
        <f aca="false"/>
        <v>644</v>
      </c>
      <c r="L63" s="9" t="e">
        <f aca="false">SUM(H63:K63)</f>
        <v>#N/A</v>
      </c>
      <c r="M63" s="10" t="e">
        <f aca="false">#NULL!+#NULL!+#NULL!+#NULL!</f>
        <v>#N/A</v>
      </c>
      <c r="N63" s="9" t="e">
        <f aca="false">#NULL!+#NULL!+#NULL!</f>
        <v>#N/A</v>
      </c>
      <c r="O63" s="9" t="e">
        <f aca="false">#NULL!+#NULL!+#NULL!</f>
        <v>#N/A</v>
      </c>
      <c r="P63" s="9" t="e">
        <f aca="false">#NULL!+#NULL!+#NULL!</f>
        <v>#N/A</v>
      </c>
      <c r="Q63" s="9" t="e">
        <f aca="false">SUM(L63:P63)+G63</f>
        <v>#N/A</v>
      </c>
    </row>
    <row r="64" customFormat="false" ht="12" hidden="false" customHeight="true" outlineLevel="0" collapsed="false">
      <c r="A64" s="18" t="s">
        <v>79</v>
      </c>
      <c r="B64" s="9" t="n">
        <f aca="false"/>
        <v>62989</v>
      </c>
      <c r="C64" s="9" t="e">
        <f aca="false">#NULL!+#NULL!</f>
        <v>#N/A</v>
      </c>
      <c r="D64" s="9" t="e">
        <f aca="false">#NULL!+#NULL!</f>
        <v>#N/A</v>
      </c>
      <c r="E64" s="9" t="n">
        <f aca="false"/>
        <v>930</v>
      </c>
      <c r="F64" s="9" t="e">
        <f aca="false">#NULL!+#NULL!+#NULL!+#NULL!</f>
        <v>#N/A</v>
      </c>
      <c r="G64" s="9" t="e">
        <f aca="false">SUM(B64:E64)</f>
        <v>#N/A</v>
      </c>
      <c r="H64" s="10" t="n">
        <f aca="false"/>
        <v>35080</v>
      </c>
      <c r="I64" s="9" t="e">
        <f aca="false">#NULL!+#NULL!</f>
        <v>#N/A</v>
      </c>
      <c r="J64" s="9" t="e">
        <f aca="false">#NULL!+#NULL!</f>
        <v>#N/A</v>
      </c>
      <c r="K64" s="9" t="n">
        <f aca="false"/>
        <v>1270</v>
      </c>
      <c r="L64" s="9" t="e">
        <f aca="false">SUM(H64:K64)</f>
        <v>#N/A</v>
      </c>
      <c r="M64" s="10" t="e">
        <f aca="false">#NULL!+#NULL!+#NULL!+#NULL!</f>
        <v>#N/A</v>
      </c>
      <c r="N64" s="9" t="e">
        <f aca="false">#NULL!+#NULL!+#NULL!</f>
        <v>#N/A</v>
      </c>
      <c r="O64" s="9" t="e">
        <f aca="false">#NULL!+#NULL!+#NULL!</f>
        <v>#N/A</v>
      </c>
      <c r="P64" s="9" t="e">
        <f aca="false">#NULL!+#NULL!+#NULL!</f>
        <v>#N/A</v>
      </c>
      <c r="Q64" s="9" t="e">
        <f aca="false">SUM(L64:P64)+G64</f>
        <v>#N/A</v>
      </c>
    </row>
    <row r="65" customFormat="false" ht="12" hidden="false" customHeight="true" outlineLevel="0" collapsed="false">
      <c r="A65" s="18" t="s">
        <v>80</v>
      </c>
      <c r="B65" s="9" t="n">
        <f aca="false"/>
        <v>701173</v>
      </c>
      <c r="C65" s="9" t="e">
        <f aca="false">#NULL!+#NULL!</f>
        <v>#N/A</v>
      </c>
      <c r="D65" s="9" t="e">
        <f aca="false">#NULL!+#NULL!</f>
        <v>#N/A</v>
      </c>
      <c r="E65" s="9" t="n">
        <f aca="false"/>
        <v>1808</v>
      </c>
      <c r="F65" s="9" t="e">
        <f aca="false">#NULL!+#NULL!+#NULL!+#NULL!</f>
        <v>#N/A</v>
      </c>
      <c r="G65" s="9" t="e">
        <f aca="false">SUM(B65:E65)</f>
        <v>#N/A</v>
      </c>
      <c r="H65" s="10" t="n">
        <f aca="false"/>
        <v>270351</v>
      </c>
      <c r="I65" s="9" t="e">
        <f aca="false">#NULL!+#NULL!</f>
        <v>#N/A</v>
      </c>
      <c r="J65" s="9" t="e">
        <f aca="false">#NULL!+#NULL!</f>
        <v>#N/A</v>
      </c>
      <c r="K65" s="9" t="n">
        <f aca="false"/>
        <v>0</v>
      </c>
      <c r="L65" s="9" t="e">
        <f aca="false">SUM(H65:K65)</f>
        <v>#N/A</v>
      </c>
      <c r="M65" s="10" t="e">
        <f aca="false">#NULL!+#NULL!+#NULL!+#NULL!</f>
        <v>#N/A</v>
      </c>
      <c r="N65" s="9" t="e">
        <f aca="false">#NULL!+#NULL!+#NULL!</f>
        <v>#N/A</v>
      </c>
      <c r="O65" s="9" t="e">
        <f aca="false">#NULL!+#NULL!+#NULL!</f>
        <v>#N/A</v>
      </c>
      <c r="P65" s="9" t="e">
        <f aca="false">#NULL!+#NULL!+#NULL!</f>
        <v>#N/A</v>
      </c>
      <c r="Q65" s="9" t="e">
        <f aca="false">SUM(L65:P65)+G65</f>
        <v>#N/A</v>
      </c>
    </row>
    <row r="66" customFormat="false" ht="12" hidden="false" customHeight="true" outlineLevel="0" collapsed="false">
      <c r="A66" s="13"/>
      <c r="B66" s="13"/>
      <c r="C66" s="13"/>
      <c r="D66" s="13"/>
      <c r="E66" s="13"/>
      <c r="F66" s="13"/>
      <c r="G66" s="13"/>
      <c r="H66" s="15"/>
      <c r="I66" s="13"/>
      <c r="J66" s="13"/>
      <c r="K66" s="13"/>
      <c r="L66" s="13"/>
      <c r="M66" s="15"/>
      <c r="N66" s="13"/>
      <c r="O66" s="13"/>
      <c r="P66" s="13"/>
      <c r="Q66" s="13"/>
    </row>
    <row r="67" customFormat="false" ht="12" hidden="false" customHeight="true" outlineLevel="0" collapsed="false">
      <c r="A67" s="6"/>
      <c r="B67" s="6"/>
      <c r="C67" s="6"/>
      <c r="D67" s="6"/>
      <c r="E67" s="6"/>
      <c r="F67" s="6"/>
      <c r="G67" s="6"/>
      <c r="H67" s="17"/>
      <c r="I67" s="6"/>
      <c r="J67" s="6"/>
      <c r="K67" s="6"/>
      <c r="L67" s="6"/>
      <c r="M67" s="17"/>
      <c r="N67" s="6"/>
      <c r="O67" s="6"/>
      <c r="P67" s="6"/>
      <c r="Q67" s="6"/>
    </row>
    <row r="68" customFormat="false" ht="12" hidden="false" customHeight="true" outlineLevel="0" collapsed="false">
      <c r="A68" s="18" t="s">
        <v>81</v>
      </c>
      <c r="B68" s="9" t="n">
        <f aca="false"/>
        <v>371386</v>
      </c>
      <c r="C68" s="9" t="e">
        <f aca="false">#NULL!+#NULL!</f>
        <v>#N/A</v>
      </c>
      <c r="D68" s="9" t="e">
        <f aca="false">#NULL!+#NULL!</f>
        <v>#N/A</v>
      </c>
      <c r="E68" s="9" t="n">
        <f aca="false"/>
        <v>3617</v>
      </c>
      <c r="F68" s="9" t="e">
        <f aca="false">#NULL!+#NULL!+#NULL!+#NULL!</f>
        <v>#N/A</v>
      </c>
      <c r="G68" s="9" t="e">
        <f aca="false">SUM(B68:E68)</f>
        <v>#N/A</v>
      </c>
      <c r="H68" s="10" t="n">
        <f aca="false"/>
        <v>89219</v>
      </c>
      <c r="I68" s="9" t="e">
        <f aca="false">#NULL!+#NULL!</f>
        <v>#N/A</v>
      </c>
      <c r="J68" s="9" t="e">
        <f aca="false">#NULL!+#NULL!</f>
        <v>#N/A</v>
      </c>
      <c r="K68" s="9" t="n">
        <f aca="false"/>
        <v>8</v>
      </c>
      <c r="L68" s="9" t="e">
        <f aca="false">SUM(H68:K68)</f>
        <v>#N/A</v>
      </c>
      <c r="M68" s="10" t="e">
        <f aca="false">#NULL!+#NULL!+#NULL!+#NULL!</f>
        <v>#N/A</v>
      </c>
      <c r="N68" s="9" t="e">
        <f aca="false">#NULL!+#NULL!+#NULL!</f>
        <v>#N/A</v>
      </c>
      <c r="O68" s="9" t="e">
        <f aca="false">#NULL!+#NULL!+#NULL!</f>
        <v>#N/A</v>
      </c>
      <c r="P68" s="9" t="e">
        <f aca="false">#NULL!+#NULL!+#NULL!</f>
        <v>#N/A</v>
      </c>
      <c r="Q68" s="9" t="e">
        <f aca="false">SUM(L68:P68)+G68</f>
        <v>#N/A</v>
      </c>
    </row>
    <row r="69" customFormat="false" ht="12" hidden="false" customHeight="true" outlineLevel="0" collapsed="false">
      <c r="A69" s="18" t="s">
        <v>82</v>
      </c>
      <c r="B69" s="9" t="n">
        <f aca="false"/>
        <v>285006</v>
      </c>
      <c r="C69" s="9" t="e">
        <f aca="false">#NULL!+#NULL!</f>
        <v>#N/A</v>
      </c>
      <c r="D69" s="9" t="e">
        <f aca="false">#NULL!+#NULL!</f>
        <v>#N/A</v>
      </c>
      <c r="E69" s="9" t="n">
        <f aca="false"/>
        <v>11886</v>
      </c>
      <c r="F69" s="9" t="e">
        <f aca="false">#NULL!+#NULL!+#NULL!+#NULL!</f>
        <v>#N/A</v>
      </c>
      <c r="G69" s="9" t="e">
        <f aca="false">SUM(B69:E69)</f>
        <v>#N/A</v>
      </c>
      <c r="H69" s="10" t="n">
        <f aca="false"/>
        <v>114941</v>
      </c>
      <c r="I69" s="9" t="e">
        <f aca="false">#NULL!+#NULL!</f>
        <v>#N/A</v>
      </c>
      <c r="J69" s="9" t="e">
        <f aca="false">#NULL!+#NULL!</f>
        <v>#N/A</v>
      </c>
      <c r="K69" s="9" t="n">
        <f aca="false"/>
        <v>7740</v>
      </c>
      <c r="L69" s="9" t="e">
        <f aca="false">SUM(H69:K69)</f>
        <v>#N/A</v>
      </c>
      <c r="M69" s="10" t="e">
        <f aca="false">#NULL!+#NULL!+#NULL!+#NULL!</f>
        <v>#N/A</v>
      </c>
      <c r="N69" s="9" t="e">
        <f aca="false">#NULL!+#NULL!+#NULL!</f>
        <v>#N/A</v>
      </c>
      <c r="O69" s="9" t="e">
        <f aca="false">#NULL!+#NULL!+#NULL!</f>
        <v>#N/A</v>
      </c>
      <c r="P69" s="9" t="e">
        <f aca="false">#NULL!+#NULL!+#NULL!</f>
        <v>#N/A</v>
      </c>
      <c r="Q69" s="9" t="e">
        <f aca="false">SUM(L69:P69)+G69</f>
        <v>#N/A</v>
      </c>
    </row>
    <row r="70" customFormat="false" ht="12" hidden="false" customHeight="true" outlineLevel="0" collapsed="false">
      <c r="A70" s="18" t="s">
        <v>83</v>
      </c>
      <c r="B70" s="9" t="n">
        <f aca="false"/>
        <v>1266169</v>
      </c>
      <c r="C70" s="9" t="e">
        <f aca="false">#NULL!+#NULL!</f>
        <v>#N/A</v>
      </c>
      <c r="D70" s="9" t="e">
        <f aca="false">#NULL!+#NULL!</f>
        <v>#N/A</v>
      </c>
      <c r="E70" s="9" t="n">
        <f aca="false"/>
        <v>3514</v>
      </c>
      <c r="F70" s="9" t="e">
        <f aca="false">#NULL!+#NULL!+#NULL!+#NULL!</f>
        <v>#N/A</v>
      </c>
      <c r="G70" s="9" t="e">
        <f aca="false">SUM(B70:E70)</f>
        <v>#N/A</v>
      </c>
      <c r="H70" s="10" t="n">
        <f aca="false"/>
        <v>665055</v>
      </c>
      <c r="I70" s="9" t="e">
        <f aca="false">#NULL!+#NULL!</f>
        <v>#N/A</v>
      </c>
      <c r="J70" s="9" t="e">
        <f aca="false">#NULL!+#NULL!</f>
        <v>#N/A</v>
      </c>
      <c r="K70" s="9" t="n">
        <f aca="false"/>
        <v>0</v>
      </c>
      <c r="L70" s="9" t="e">
        <f aca="false">SUM(H70:K70)</f>
        <v>#N/A</v>
      </c>
      <c r="M70" s="10" t="e">
        <f aca="false">#NULL!+#NULL!+#NULL!+#NULL!</f>
        <v>#N/A</v>
      </c>
      <c r="N70" s="9" t="e">
        <f aca="false">#NULL!+#NULL!+#NULL!</f>
        <v>#N/A</v>
      </c>
      <c r="O70" s="9" t="e">
        <f aca="false">#NULL!+#NULL!+#NULL!</f>
        <v>#N/A</v>
      </c>
      <c r="P70" s="9" t="e">
        <f aca="false">#NULL!+#NULL!+#NULL!</f>
        <v>#N/A</v>
      </c>
      <c r="Q70" s="9" t="e">
        <f aca="false">SUM(L70:P70)+G70</f>
        <v>#N/A</v>
      </c>
    </row>
    <row r="71" customFormat="false" ht="12" hidden="false" customHeight="true" outlineLevel="0" collapsed="false">
      <c r="A71" s="18" t="s">
        <v>84</v>
      </c>
      <c r="B71" s="9" t="n">
        <f aca="false"/>
        <v>146219</v>
      </c>
      <c r="C71" s="9" t="e">
        <f aca="false">#NULL!+#NULL!</f>
        <v>#N/A</v>
      </c>
      <c r="D71" s="9" t="e">
        <f aca="false">#NULL!+#NULL!</f>
        <v>#N/A</v>
      </c>
      <c r="E71" s="9" t="n">
        <f aca="false"/>
        <v>0</v>
      </c>
      <c r="F71" s="9" t="e">
        <f aca="false">#NULL!+#NULL!+#NULL!+#NULL!</f>
        <v>#N/A</v>
      </c>
      <c r="G71" s="9" t="e">
        <f aca="false">SUM(B71:E71)</f>
        <v>#N/A</v>
      </c>
      <c r="H71" s="10" t="n">
        <f aca="false"/>
        <v>25818</v>
      </c>
      <c r="I71" s="9" t="e">
        <f aca="false">#NULL!+#NULL!</f>
        <v>#N/A</v>
      </c>
      <c r="J71" s="9" t="e">
        <f aca="false">#NULL!+#NULL!</f>
        <v>#N/A</v>
      </c>
      <c r="K71" s="9" t="n">
        <f aca="false"/>
        <v>14</v>
      </c>
      <c r="L71" s="9" t="e">
        <f aca="false">SUM(H71:K71)</f>
        <v>#N/A</v>
      </c>
      <c r="M71" s="10" t="e">
        <f aca="false">#NULL!+#NULL!+#NULL!+#NULL!</f>
        <v>#N/A</v>
      </c>
      <c r="N71" s="9" t="e">
        <f aca="false">#NULL!+#NULL!+#NULL!</f>
        <v>#N/A</v>
      </c>
      <c r="O71" s="9" t="e">
        <f aca="false">#NULL!+#NULL!+#NULL!</f>
        <v>#N/A</v>
      </c>
      <c r="P71" s="9" t="e">
        <f aca="false">#NULL!+#NULL!+#NULL!</f>
        <v>#N/A</v>
      </c>
      <c r="Q71" s="9" t="e">
        <f aca="false">SUM(L71:P71)+G71</f>
        <v>#N/A</v>
      </c>
    </row>
    <row r="72" customFormat="false" ht="12" hidden="false" customHeight="true" outlineLevel="0" collapsed="false">
      <c r="A72" s="13"/>
      <c r="B72" s="13"/>
      <c r="C72" s="13"/>
      <c r="D72" s="13"/>
      <c r="E72" s="13"/>
      <c r="F72" s="13"/>
      <c r="G72" s="13"/>
      <c r="H72" s="15"/>
      <c r="I72" s="13"/>
      <c r="J72" s="13"/>
      <c r="K72" s="13"/>
      <c r="L72" s="13"/>
      <c r="M72" s="15"/>
      <c r="N72" s="13"/>
      <c r="O72" s="13"/>
      <c r="P72" s="13"/>
      <c r="Q72" s="13"/>
    </row>
    <row r="73" customFormat="false" ht="12" hidden="false" customHeight="true" outlineLevel="0" collapsed="false">
      <c r="A73" s="6"/>
      <c r="B73" s="6"/>
      <c r="C73" s="6"/>
      <c r="D73" s="6"/>
      <c r="E73" s="6"/>
      <c r="F73" s="6"/>
      <c r="G73" s="6"/>
      <c r="H73" s="17"/>
      <c r="I73" s="6"/>
      <c r="J73" s="6"/>
      <c r="K73" s="6"/>
      <c r="L73" s="6"/>
      <c r="M73" s="17"/>
      <c r="N73" s="6"/>
      <c r="O73" s="6"/>
      <c r="P73" s="6"/>
      <c r="Q73" s="6"/>
    </row>
    <row r="74" customFormat="false" ht="12" hidden="false" customHeight="true" outlineLevel="0" collapsed="false">
      <c r="A74" s="18" t="s">
        <v>85</v>
      </c>
      <c r="B74" s="9" t="n">
        <f aca="false"/>
        <v>291798</v>
      </c>
      <c r="C74" s="9" t="e">
        <f aca="false">#NULL!+#NULL!</f>
        <v>#N/A</v>
      </c>
      <c r="D74" s="9" t="e">
        <f aca="false">#NULL!+#NULL!</f>
        <v>#N/A</v>
      </c>
      <c r="E74" s="9" t="n">
        <f aca="false"/>
        <v>134</v>
      </c>
      <c r="F74" s="9" t="e">
        <f aca="false">#NULL!+#NULL!+#NULL!+#NULL!</f>
        <v>#N/A</v>
      </c>
      <c r="G74" s="9" t="e">
        <f aca="false">SUM(B74:E74)</f>
        <v>#N/A</v>
      </c>
      <c r="H74" s="10" t="n">
        <f aca="false"/>
        <v>158893</v>
      </c>
      <c r="I74" s="9" t="e">
        <f aca="false">#NULL!+#NULL!</f>
        <v>#N/A</v>
      </c>
      <c r="J74" s="9" t="e">
        <f aca="false">#NULL!+#NULL!</f>
        <v>#N/A</v>
      </c>
      <c r="K74" s="9" t="n">
        <f aca="false"/>
        <v>0</v>
      </c>
      <c r="L74" s="9" t="e">
        <f aca="false">SUM(H74:K74)</f>
        <v>#N/A</v>
      </c>
      <c r="M74" s="10" t="e">
        <f aca="false">#NULL!+#NULL!+#NULL!+#NULL!</f>
        <v>#N/A</v>
      </c>
      <c r="N74" s="9" t="e">
        <f aca="false">#NULL!+#NULL!+#NULL!</f>
        <v>#N/A</v>
      </c>
      <c r="O74" s="9" t="e">
        <f aca="false">#NULL!+#NULL!+#NULL!</f>
        <v>#N/A</v>
      </c>
      <c r="P74" s="9" t="e">
        <f aca="false">#NULL!+#NULL!+#NULL!</f>
        <v>#N/A</v>
      </c>
      <c r="Q74" s="9" t="e">
        <f aca="false">SUM(L74:P74)+G74</f>
        <v>#N/A</v>
      </c>
    </row>
    <row r="75" customFormat="false" ht="12" hidden="false" customHeight="true" outlineLevel="0" collapsed="false">
      <c r="A75" s="18" t="s">
        <v>86</v>
      </c>
      <c r="B75" s="9" t="n">
        <f aca="false"/>
        <v>117892</v>
      </c>
      <c r="C75" s="9" t="e">
        <f aca="false">#NULL!+#NULL!</f>
        <v>#N/A</v>
      </c>
      <c r="D75" s="9" t="e">
        <f aca="false">#NULL!+#NULL!</f>
        <v>#N/A</v>
      </c>
      <c r="E75" s="9" t="n">
        <f aca="false"/>
        <v>951</v>
      </c>
      <c r="F75" s="9" t="e">
        <f aca="false">#NULL!+#NULL!+#NULL!+#NULL!</f>
        <v>#N/A</v>
      </c>
      <c r="G75" s="9" t="e">
        <f aca="false">SUM(B75:E75)</f>
        <v>#N/A</v>
      </c>
      <c r="H75" s="10" t="n">
        <f aca="false"/>
        <v>33609</v>
      </c>
      <c r="I75" s="9" t="e">
        <f aca="false">#NULL!+#NULL!</f>
        <v>#N/A</v>
      </c>
      <c r="J75" s="9" t="e">
        <f aca="false">#NULL!+#NULL!</f>
        <v>#N/A</v>
      </c>
      <c r="K75" s="9" t="n">
        <f aca="false"/>
        <v>2890</v>
      </c>
      <c r="L75" s="9" t="e">
        <f aca="false">SUM(H75:K75)</f>
        <v>#N/A</v>
      </c>
      <c r="M75" s="10" t="e">
        <f aca="false">#NULL!+#NULL!+#NULL!+#NULL!</f>
        <v>#N/A</v>
      </c>
      <c r="N75" s="9" t="e">
        <f aca="false">#NULL!+#NULL!+#NULL!</f>
        <v>#N/A</v>
      </c>
      <c r="O75" s="9" t="e">
        <f aca="false">#NULL!+#NULL!+#NULL!</f>
        <v>#N/A</v>
      </c>
      <c r="P75" s="9" t="e">
        <f aca="false">#NULL!+#NULL!+#NULL!</f>
        <v>#N/A</v>
      </c>
      <c r="Q75" s="9" t="e">
        <f aca="false">SUM(L75:P75)+G75</f>
        <v>#N/A</v>
      </c>
    </row>
    <row r="76" customFormat="false" ht="12" hidden="false" customHeight="true" outlineLevel="0" collapsed="false">
      <c r="A76" s="18" t="s">
        <v>87</v>
      </c>
      <c r="B76" s="9" t="n">
        <f aca="false"/>
        <v>552828</v>
      </c>
      <c r="C76" s="9" t="e">
        <f aca="false">#NULL!+#NULL!</f>
        <v>#N/A</v>
      </c>
      <c r="D76" s="9" t="e">
        <f aca="false">#NULL!+#NULL!</f>
        <v>#N/A</v>
      </c>
      <c r="E76" s="9" t="n">
        <f aca="false"/>
        <v>7983</v>
      </c>
      <c r="F76" s="9" t="e">
        <f aca="false">#NULL!+#NULL!+#NULL!+#NULL!</f>
        <v>#N/A</v>
      </c>
      <c r="G76" s="9" t="e">
        <f aca="false">SUM(B76:E76)</f>
        <v>#N/A</v>
      </c>
      <c r="H76" s="10" t="n">
        <f aca="false"/>
        <v>204531</v>
      </c>
      <c r="I76" s="9" t="e">
        <f aca="false">#NULL!+#NULL!</f>
        <v>#N/A</v>
      </c>
      <c r="J76" s="9" t="e">
        <f aca="false">#NULL!+#NULL!</f>
        <v>#N/A</v>
      </c>
      <c r="K76" s="9" t="n">
        <f aca="false"/>
        <v>0</v>
      </c>
      <c r="L76" s="9" t="e">
        <f aca="false">SUM(H76:K76)</f>
        <v>#N/A</v>
      </c>
      <c r="M76" s="10" t="e">
        <f aca="false">#NULL!+#NULL!+#NULL!+#NULL!</f>
        <v>#N/A</v>
      </c>
      <c r="N76" s="9" t="e">
        <f aca="false">#NULL!+#NULL!+#NULL!</f>
        <v>#N/A</v>
      </c>
      <c r="O76" s="9" t="e">
        <f aca="false">#NULL!+#NULL!+#NULL!</f>
        <v>#N/A</v>
      </c>
      <c r="P76" s="9" t="e">
        <f aca="false">#NULL!+#NULL!+#NULL!</f>
        <v>#N/A</v>
      </c>
      <c r="Q76" s="9" t="e">
        <f aca="false">SUM(L76:P76)+G76</f>
        <v>#N/A</v>
      </c>
    </row>
    <row r="77" customFormat="false" ht="12" hidden="false" customHeight="true" outlineLevel="0" collapsed="false">
      <c r="A77" s="18" t="s">
        <v>88</v>
      </c>
      <c r="B77" s="9" t="n">
        <f aca="false"/>
        <v>1796616</v>
      </c>
      <c r="C77" s="9" t="e">
        <f aca="false">#NULL!+#NULL!</f>
        <v>#N/A</v>
      </c>
      <c r="D77" s="9" t="e">
        <f aca="false">#NULL!+#NULL!</f>
        <v>#N/A</v>
      </c>
      <c r="E77" s="9" t="n">
        <f aca="false"/>
        <v>4489</v>
      </c>
      <c r="F77" s="9" t="e">
        <f aca="false">#NULL!+#NULL!+#NULL!+#NULL!</f>
        <v>#N/A</v>
      </c>
      <c r="G77" s="9" t="e">
        <f aca="false">SUM(B77:E77)</f>
        <v>#N/A</v>
      </c>
      <c r="H77" s="10" t="n">
        <f aca="false"/>
        <v>570196</v>
      </c>
      <c r="I77" s="9" t="e">
        <f aca="false">#NULL!+#NULL!</f>
        <v>#N/A</v>
      </c>
      <c r="J77" s="9" t="e">
        <f aca="false">#NULL!+#NULL!</f>
        <v>#N/A</v>
      </c>
      <c r="K77" s="9" t="n">
        <f aca="false"/>
        <v>0</v>
      </c>
      <c r="L77" s="9" t="e">
        <f aca="false">SUM(H77:K77)</f>
        <v>#N/A</v>
      </c>
      <c r="M77" s="10" t="e">
        <f aca="false">#NULL!+#NULL!+#NULL!+#NULL!</f>
        <v>#N/A</v>
      </c>
      <c r="N77" s="9" t="e">
        <f aca="false">#NULL!+#NULL!+#NULL!</f>
        <v>#N/A</v>
      </c>
      <c r="O77" s="9" t="e">
        <f aca="false">#NULL!+#NULL!+#NULL!</f>
        <v>#N/A</v>
      </c>
      <c r="P77" s="9" t="e">
        <f aca="false">#NULL!+#NULL!+#NULL!</f>
        <v>#N/A</v>
      </c>
      <c r="Q77" s="9" t="e">
        <f aca="false">SUM(L77:P77)+G77</f>
        <v>#N/A</v>
      </c>
    </row>
    <row r="78" customFormat="false" ht="12" hidden="false" customHeight="true" outlineLevel="0" collapsed="false">
      <c r="A78" s="13"/>
      <c r="B78" s="13"/>
      <c r="C78" s="13"/>
      <c r="D78" s="13"/>
      <c r="E78" s="13"/>
      <c r="F78" s="13"/>
      <c r="G78" s="13"/>
      <c r="H78" s="15"/>
      <c r="I78" s="13"/>
      <c r="J78" s="13"/>
      <c r="K78" s="13"/>
      <c r="L78" s="13"/>
      <c r="M78" s="15"/>
      <c r="N78" s="13"/>
      <c r="O78" s="13"/>
      <c r="P78" s="13"/>
      <c r="Q78" s="13"/>
    </row>
    <row r="79" customFormat="false" ht="12" hidden="false" customHeight="true" outlineLevel="0" collapsed="false">
      <c r="A79" s="6"/>
      <c r="B79" s="6"/>
      <c r="C79" s="6"/>
      <c r="D79" s="6"/>
      <c r="E79" s="6"/>
      <c r="F79" s="6"/>
      <c r="G79" s="6"/>
      <c r="H79" s="17"/>
      <c r="I79" s="6"/>
      <c r="J79" s="6"/>
      <c r="K79" s="6"/>
      <c r="L79" s="6"/>
      <c r="M79" s="17"/>
      <c r="N79" s="6"/>
      <c r="O79" s="6"/>
      <c r="P79" s="6"/>
      <c r="Q79" s="6"/>
    </row>
    <row r="80" customFormat="false" ht="12" hidden="false" customHeight="true" outlineLevel="0" collapsed="false">
      <c r="A80" s="18" t="s">
        <v>89</v>
      </c>
      <c r="B80" s="9" t="n">
        <f aca="false"/>
        <v>183388</v>
      </c>
      <c r="C80" s="9" t="e">
        <f aca="false">#NULL!+#NULL!</f>
        <v>#N/A</v>
      </c>
      <c r="D80" s="9" t="e">
        <f aca="false">#NULL!+#NULL!</f>
        <v>#N/A</v>
      </c>
      <c r="E80" s="9" t="n">
        <f aca="false"/>
        <v>15711</v>
      </c>
      <c r="F80" s="9" t="e">
        <f aca="false">#NULL!+#NULL!+#NULL!+#NULL!</f>
        <v>#N/A</v>
      </c>
      <c r="G80" s="9" t="e">
        <f aca="false">SUM(B80:E80)</f>
        <v>#N/A</v>
      </c>
      <c r="H80" s="10" t="n">
        <f aca="false"/>
        <v>56557</v>
      </c>
      <c r="I80" s="9" t="e">
        <f aca="false">#NULL!+#NULL!</f>
        <v>#N/A</v>
      </c>
      <c r="J80" s="9" t="e">
        <f aca="false">#NULL!+#NULL!</f>
        <v>#N/A</v>
      </c>
      <c r="K80" s="9" t="n">
        <f aca="false"/>
        <v>744</v>
      </c>
      <c r="L80" s="9" t="e">
        <f aca="false">SUM(H80:K80)</f>
        <v>#N/A</v>
      </c>
      <c r="M80" s="10" t="e">
        <f aca="false">#NULL!+#NULL!+#NULL!+#NULL!</f>
        <v>#N/A</v>
      </c>
      <c r="N80" s="9" t="e">
        <f aca="false">#NULL!+#NULL!+#NULL!</f>
        <v>#N/A</v>
      </c>
      <c r="O80" s="9" t="e">
        <f aca="false">#NULL!+#NULL!+#NULL!</f>
        <v>#N/A</v>
      </c>
      <c r="P80" s="9" t="e">
        <f aca="false">#NULL!+#NULL!+#NULL!</f>
        <v>#N/A</v>
      </c>
      <c r="Q80" s="9" t="e">
        <f aca="false">SUM(L80:P80)+G80</f>
        <v>#N/A</v>
      </c>
    </row>
    <row r="81" customFormat="false" ht="12" hidden="false" customHeight="true" outlineLevel="0" collapsed="false">
      <c r="A81" s="18" t="s">
        <v>90</v>
      </c>
      <c r="B81" s="9" t="n">
        <f aca="false"/>
        <v>53501</v>
      </c>
      <c r="C81" s="9" t="e">
        <f aca="false">#NULL!+#NULL!</f>
        <v>#N/A</v>
      </c>
      <c r="D81" s="9" t="e">
        <f aca="false">#NULL!+#NULL!</f>
        <v>#N/A</v>
      </c>
      <c r="E81" s="9" t="n">
        <f aca="false"/>
        <v>1</v>
      </c>
      <c r="F81" s="9" t="e">
        <f aca="false">#NULL!+#NULL!+#NULL!+#NULL!</f>
        <v>#N/A</v>
      </c>
      <c r="G81" s="9" t="e">
        <f aca="false">SUM(B81:E81)</f>
        <v>#N/A</v>
      </c>
      <c r="H81" s="10" t="n">
        <f aca="false"/>
        <v>39682</v>
      </c>
      <c r="I81" s="9" t="e">
        <f aca="false">#NULL!+#NULL!</f>
        <v>#N/A</v>
      </c>
      <c r="J81" s="9" t="e">
        <f aca="false">#NULL!+#NULL!</f>
        <v>#N/A</v>
      </c>
      <c r="K81" s="9" t="n">
        <f aca="false"/>
        <v>0</v>
      </c>
      <c r="L81" s="9" t="e">
        <f aca="false">SUM(H81:K81)</f>
        <v>#N/A</v>
      </c>
      <c r="M81" s="10" t="e">
        <f aca="false">#NULL!+#NULL!+#NULL!+#NULL!</f>
        <v>#N/A</v>
      </c>
      <c r="N81" s="9" t="e">
        <f aca="false">#NULL!+#NULL!+#NULL!</f>
        <v>#N/A</v>
      </c>
      <c r="O81" s="9" t="e">
        <f aca="false">#NULL!+#NULL!+#NULL!</f>
        <v>#N/A</v>
      </c>
      <c r="P81" s="9" t="e">
        <f aca="false">#NULL!+#NULL!+#NULL!</f>
        <v>#N/A</v>
      </c>
      <c r="Q81" s="9" t="e">
        <f aca="false">SUM(L81:P81)+G81</f>
        <v>#N/A</v>
      </c>
    </row>
    <row r="82" customFormat="false" ht="12" hidden="false" customHeight="true" outlineLevel="0" collapsed="false">
      <c r="A82" s="18" t="s">
        <v>91</v>
      </c>
      <c r="B82" s="9" t="n">
        <f aca="false"/>
        <v>939708</v>
      </c>
      <c r="C82" s="9" t="e">
        <f aca="false">#NULL!+#NULL!</f>
        <v>#N/A</v>
      </c>
      <c r="D82" s="9" t="e">
        <f aca="false">#NULL!+#NULL!</f>
        <v>#N/A</v>
      </c>
      <c r="E82" s="9" t="n">
        <f aca="false"/>
        <v>5992</v>
      </c>
      <c r="F82" s="9" t="e">
        <f aca="false">#NULL!+#NULL!+#NULL!+#NULL!</f>
        <v>#N/A</v>
      </c>
      <c r="G82" s="9" t="e">
        <f aca="false">SUM(B82:E82)</f>
        <v>#N/A</v>
      </c>
      <c r="H82" s="10" t="n">
        <f aca="false"/>
        <v>509185</v>
      </c>
      <c r="I82" s="9" t="e">
        <f aca="false">#NULL!+#NULL!</f>
        <v>#N/A</v>
      </c>
      <c r="J82" s="9" t="e">
        <f aca="false">#NULL!+#NULL!</f>
        <v>#N/A</v>
      </c>
      <c r="K82" s="9" t="n">
        <f aca="false"/>
        <v>0</v>
      </c>
      <c r="L82" s="9" t="e">
        <f aca="false">SUM(H82:K82)</f>
        <v>#N/A</v>
      </c>
      <c r="M82" s="10" t="e">
        <f aca="false">#NULL!+#NULL!+#NULL!+#NULL!</f>
        <v>#N/A</v>
      </c>
      <c r="N82" s="9" t="e">
        <f aca="false">#NULL!+#NULL!+#NULL!</f>
        <v>#N/A</v>
      </c>
      <c r="O82" s="9" t="e">
        <f aca="false">#NULL!+#NULL!+#NULL!</f>
        <v>#N/A</v>
      </c>
      <c r="P82" s="9" t="e">
        <f aca="false">#NULL!+#NULL!+#NULL!</f>
        <v>#N/A</v>
      </c>
      <c r="Q82" s="9" t="e">
        <f aca="false">SUM(L82:P82)+G82</f>
        <v>#N/A</v>
      </c>
    </row>
    <row r="83" customFormat="false" ht="12" hidden="false" customHeight="true" outlineLevel="0" collapsed="false">
      <c r="A83" s="18" t="s">
        <v>92</v>
      </c>
      <c r="B83" s="9" t="n">
        <f aca="false"/>
        <v>496290</v>
      </c>
      <c r="C83" s="9" t="e">
        <f aca="false">#NULL!+#NULL!</f>
        <v>#N/A</v>
      </c>
      <c r="D83" s="9" t="e">
        <f aca="false">#NULL!+#NULL!</f>
        <v>#N/A</v>
      </c>
      <c r="E83" s="9" t="n">
        <f aca="false"/>
        <v>12304</v>
      </c>
      <c r="F83" s="9" t="e">
        <f aca="false">#NULL!+#NULL!+#NULL!+#NULL!</f>
        <v>#N/A</v>
      </c>
      <c r="G83" s="9" t="e">
        <f aca="false">SUM(B83:E83)</f>
        <v>#N/A</v>
      </c>
      <c r="H83" s="10" t="n">
        <f aca="false"/>
        <v>179382</v>
      </c>
      <c r="I83" s="9" t="e">
        <f aca="false">#NULL!+#NULL!</f>
        <v>#N/A</v>
      </c>
      <c r="J83" s="9" t="e">
        <f aca="false">#NULL!+#NULL!</f>
        <v>#N/A</v>
      </c>
      <c r="K83" s="9" t="n">
        <f aca="false"/>
        <v>2023</v>
      </c>
      <c r="L83" s="9" t="e">
        <f aca="false">SUM(H83:K83)</f>
        <v>#N/A</v>
      </c>
      <c r="M83" s="10" t="e">
        <f aca="false">#NULL!+#NULL!+#NULL!+#NULL!</f>
        <v>#N/A</v>
      </c>
      <c r="N83" s="9" t="e">
        <f aca="false">#NULL!+#NULL!+#NULL!</f>
        <v>#N/A</v>
      </c>
      <c r="O83" s="9" t="e">
        <f aca="false">#NULL!+#NULL!+#NULL!</f>
        <v>#N/A</v>
      </c>
      <c r="P83" s="9" t="e">
        <f aca="false">#NULL!+#NULL!+#NULL!</f>
        <v>#N/A</v>
      </c>
      <c r="Q83" s="9" t="e">
        <f aca="false">SUM(L83:P83)+G83</f>
        <v>#N/A</v>
      </c>
    </row>
    <row r="84" customFormat="false" ht="12" hidden="false" customHeight="true" outlineLevel="0" collapsed="false">
      <c r="A84" s="13"/>
      <c r="B84" s="13"/>
      <c r="C84" s="13"/>
      <c r="D84" s="13"/>
      <c r="E84" s="13"/>
      <c r="F84" s="13"/>
      <c r="G84" s="13"/>
      <c r="H84" s="15"/>
      <c r="I84" s="13"/>
      <c r="J84" s="13"/>
      <c r="K84" s="13"/>
      <c r="L84" s="13"/>
      <c r="M84" s="15"/>
      <c r="N84" s="13"/>
      <c r="O84" s="13"/>
      <c r="P84" s="13"/>
      <c r="Q84" s="13"/>
    </row>
    <row r="85" customFormat="false" ht="12" hidden="false" customHeight="true" outlineLevel="0" collapsed="false">
      <c r="A85" s="6"/>
      <c r="B85" s="6"/>
      <c r="C85" s="6"/>
      <c r="D85" s="6"/>
      <c r="E85" s="6"/>
      <c r="F85" s="6"/>
      <c r="G85" s="6"/>
      <c r="H85" s="17"/>
      <c r="I85" s="6"/>
      <c r="J85" s="6"/>
      <c r="K85" s="6"/>
      <c r="L85" s="6"/>
      <c r="M85" s="17"/>
      <c r="N85" s="6"/>
      <c r="O85" s="6"/>
      <c r="P85" s="6"/>
      <c r="Q85" s="6"/>
    </row>
    <row r="86" customFormat="false" ht="12" hidden="false" customHeight="true" outlineLevel="0" collapsed="false">
      <c r="A86" s="18" t="s">
        <v>93</v>
      </c>
      <c r="B86" s="9" t="n">
        <f aca="false"/>
        <v>200227</v>
      </c>
      <c r="C86" s="9" t="e">
        <f aca="false">#NULL!+#NULL!</f>
        <v>#N/A</v>
      </c>
      <c r="D86" s="9" t="e">
        <f aca="false">#NULL!+#NULL!</f>
        <v>#N/A</v>
      </c>
      <c r="E86" s="9" t="n">
        <f aca="false"/>
        <v>2581</v>
      </c>
      <c r="F86" s="9" t="e">
        <f aca="false">#NULL!+#NULL!+#NULL!+#NULL!</f>
        <v>#N/A</v>
      </c>
      <c r="G86" s="9" t="e">
        <f aca="false">SUM(B86:E86)</f>
        <v>#N/A</v>
      </c>
      <c r="H86" s="10" t="n">
        <f aca="false"/>
        <v>245138</v>
      </c>
      <c r="I86" s="9" t="e">
        <f aca="false">#NULL!+#NULL!</f>
        <v>#N/A</v>
      </c>
      <c r="J86" s="9" t="e">
        <f aca="false">#NULL!+#NULL!</f>
        <v>#N/A</v>
      </c>
      <c r="K86" s="9" t="n">
        <f aca="false"/>
        <v>0</v>
      </c>
      <c r="L86" s="9" t="e">
        <f aca="false">SUM(H86:K86)</f>
        <v>#N/A</v>
      </c>
      <c r="M86" s="10" t="e">
        <f aca="false">#NULL!+#NULL!+#NULL!+#NULL!</f>
        <v>#N/A</v>
      </c>
      <c r="N86" s="9" t="e">
        <f aca="false">#NULL!+#NULL!+#NULL!</f>
        <v>#N/A</v>
      </c>
      <c r="O86" s="9" t="e">
        <f aca="false">#NULL!+#NULL!+#NULL!</f>
        <v>#N/A</v>
      </c>
      <c r="P86" s="9" t="e">
        <f aca="false">#NULL!+#NULL!+#NULL!</f>
        <v>#N/A</v>
      </c>
      <c r="Q86" s="9" t="e">
        <f aca="false">SUM(L86:P86)+G86</f>
        <v>#N/A</v>
      </c>
    </row>
    <row r="87" customFormat="false" ht="12" hidden="false" customHeight="true" outlineLevel="0" collapsed="false">
      <c r="A87" s="18" t="s">
        <v>94</v>
      </c>
      <c r="B87" s="9" t="n">
        <f aca="false"/>
        <v>395504</v>
      </c>
      <c r="C87" s="9" t="e">
        <f aca="false">#NULL!+#NULL!</f>
        <v>#N/A</v>
      </c>
      <c r="D87" s="9" t="e">
        <f aca="false">#NULL!+#NULL!</f>
        <v>#N/A</v>
      </c>
      <c r="E87" s="9" t="n">
        <f aca="false"/>
        <v>230</v>
      </c>
      <c r="F87" s="9" t="e">
        <f aca="false">#NULL!+#NULL!+#NULL!+#NULL!</f>
        <v>#N/A</v>
      </c>
      <c r="G87" s="9" t="e">
        <f aca="false">SUM(B87:E87)</f>
        <v>#N/A</v>
      </c>
      <c r="H87" s="10" t="n">
        <f aca="false"/>
        <v>138810</v>
      </c>
      <c r="I87" s="9" t="e">
        <f aca="false">#NULL!+#NULL!</f>
        <v>#N/A</v>
      </c>
      <c r="J87" s="9" t="e">
        <f aca="false">#NULL!+#NULL!</f>
        <v>#N/A</v>
      </c>
      <c r="K87" s="9" t="n">
        <f aca="false"/>
        <v>520</v>
      </c>
      <c r="L87" s="9" t="e">
        <f aca="false">SUM(H87:K87)</f>
        <v>#N/A</v>
      </c>
      <c r="M87" s="10" t="e">
        <f aca="false">#NULL!+#NULL!+#NULL!+#NULL!</f>
        <v>#N/A</v>
      </c>
      <c r="N87" s="9" t="e">
        <f aca="false">#NULL!+#NULL!+#NULL!</f>
        <v>#N/A</v>
      </c>
      <c r="O87" s="9" t="e">
        <f aca="false">#NULL!+#NULL!+#NULL!</f>
        <v>#N/A</v>
      </c>
      <c r="P87" s="9" t="e">
        <f aca="false">#NULL!+#NULL!+#NULL!</f>
        <v>#N/A</v>
      </c>
      <c r="Q87" s="9" t="e">
        <f aca="false">SUM(L87:P87)+G87</f>
        <v>#N/A</v>
      </c>
    </row>
    <row r="88" customFormat="false" ht="12" hidden="false" customHeight="true" outlineLevel="0" collapsed="false">
      <c r="A88" s="18" t="s">
        <v>95</v>
      </c>
      <c r="B88" s="9" t="n">
        <f aca="false"/>
        <v>180068</v>
      </c>
      <c r="C88" s="9" t="e">
        <f aca="false">#NULL!+#NULL!</f>
        <v>#N/A</v>
      </c>
      <c r="D88" s="9" t="e">
        <f aca="false">#NULL!+#NULL!</f>
        <v>#N/A</v>
      </c>
      <c r="E88" s="9" t="n">
        <f aca="false"/>
        <v>19507</v>
      </c>
      <c r="F88" s="9" t="e">
        <f aca="false">#NULL!+#NULL!+#NULL!+#NULL!</f>
        <v>#N/A</v>
      </c>
      <c r="G88" s="9" t="e">
        <f aca="false">SUM(B88:E88)</f>
        <v>#N/A</v>
      </c>
      <c r="H88" s="10" t="n">
        <f aca="false"/>
        <v>58311</v>
      </c>
      <c r="I88" s="9" t="e">
        <f aca="false">#NULL!+#NULL!</f>
        <v>#N/A</v>
      </c>
      <c r="J88" s="9" t="e">
        <f aca="false">#NULL!+#NULL!</f>
        <v>#N/A</v>
      </c>
      <c r="K88" s="9" t="n">
        <f aca="false"/>
        <v>972</v>
      </c>
      <c r="L88" s="9" t="e">
        <f aca="false">SUM(H88:K88)</f>
        <v>#N/A</v>
      </c>
      <c r="M88" s="10" t="e">
        <f aca="false">#NULL!+#NULL!+#NULL!+#NULL!</f>
        <v>#N/A</v>
      </c>
      <c r="N88" s="9" t="e">
        <f aca="false">#NULL!+#NULL!+#NULL!</f>
        <v>#N/A</v>
      </c>
      <c r="O88" s="9" t="e">
        <f aca="false">#NULL!+#NULL!+#NULL!</f>
        <v>#N/A</v>
      </c>
      <c r="P88" s="9" t="e">
        <f aca="false">#NULL!+#NULL!+#NULL!</f>
        <v>#N/A</v>
      </c>
      <c r="Q88" s="9" t="e">
        <f aca="false">SUM(L88:P88)+G88</f>
        <v>#N/A</v>
      </c>
    </row>
    <row r="89" customFormat="false" ht="12" hidden="false" customHeight="true" outlineLevel="0" collapsed="false">
      <c r="A89" s="9"/>
      <c r="B89" s="9"/>
      <c r="C89" s="9"/>
      <c r="D89" s="9"/>
      <c r="E89" s="9"/>
      <c r="F89" s="9"/>
      <c r="G89" s="9"/>
      <c r="H89" s="10"/>
      <c r="I89" s="9"/>
      <c r="J89" s="9"/>
      <c r="K89" s="9"/>
      <c r="L89" s="9"/>
      <c r="M89" s="10"/>
      <c r="N89" s="9"/>
      <c r="O89" s="9"/>
      <c r="P89" s="9"/>
      <c r="Q89" s="9"/>
    </row>
    <row r="90" customFormat="false" ht="12" hidden="false" customHeight="true" outlineLevel="0" collapsed="false">
      <c r="A90" s="6"/>
      <c r="B90" s="6"/>
      <c r="C90" s="6"/>
      <c r="D90" s="6"/>
      <c r="E90" s="6"/>
      <c r="F90" s="6"/>
      <c r="G90" s="6"/>
      <c r="H90" s="17"/>
      <c r="I90" s="6"/>
      <c r="J90" s="6"/>
      <c r="K90" s="6"/>
      <c r="L90" s="6"/>
      <c r="M90" s="17"/>
      <c r="N90" s="6"/>
      <c r="O90" s="6"/>
      <c r="P90" s="6"/>
      <c r="Q90" s="6"/>
    </row>
    <row r="91" customFormat="false" ht="12" hidden="false" customHeight="true" outlineLevel="0" collapsed="false">
      <c r="A91" s="18" t="s">
        <v>96</v>
      </c>
      <c r="B91" s="9"/>
      <c r="C91" s="9"/>
      <c r="D91" s="9"/>
      <c r="E91" s="9"/>
      <c r="F91" s="9"/>
      <c r="G91" s="9"/>
      <c r="H91" s="10"/>
      <c r="I91" s="9"/>
      <c r="J91" s="9"/>
      <c r="K91" s="9"/>
      <c r="L91" s="9"/>
      <c r="M91" s="10"/>
      <c r="N91" s="9"/>
      <c r="O91" s="9"/>
      <c r="P91" s="9"/>
      <c r="Q91" s="9"/>
    </row>
    <row r="92" customFormat="false" ht="12" hidden="false" customHeight="true" outlineLevel="0" collapsed="false">
      <c r="A92" s="18" t="s">
        <v>97</v>
      </c>
      <c r="B92" s="9" t="n">
        <v>0</v>
      </c>
      <c r="C92" s="9" t="n">
        <v>0</v>
      </c>
      <c r="D92" s="9" t="n">
        <v>0</v>
      </c>
      <c r="E92" s="9" t="n">
        <f aca="false"/>
        <v>7596</v>
      </c>
      <c r="F92" s="9" t="n">
        <f aca="false"/>
        <v>0</v>
      </c>
      <c r="G92" s="9" t="n">
        <f aca="false">SUM(B92:E92)</f>
        <v>7596</v>
      </c>
      <c r="H92" s="10" t="n">
        <v>0</v>
      </c>
      <c r="I92" s="9" t="n">
        <v>0</v>
      </c>
      <c r="J92" s="9" t="n">
        <v>0</v>
      </c>
      <c r="K92" s="9" t="n">
        <f aca="false"/>
        <v>60043</v>
      </c>
      <c r="L92" s="9" t="n">
        <f aca="false">SUM(H92:K92)</f>
        <v>60043</v>
      </c>
      <c r="M92" s="10" t="n">
        <f aca="false"/>
        <v>259477</v>
      </c>
      <c r="N92" s="9" t="n">
        <v>0</v>
      </c>
      <c r="O92" s="9" t="n">
        <v>0</v>
      </c>
      <c r="P92" s="9" t="n">
        <v>0</v>
      </c>
      <c r="Q92" s="9" t="n">
        <f aca="false">SUM(L92:P92)+G92</f>
        <v>327116</v>
      </c>
    </row>
    <row r="93" customFormat="false" ht="12" hidden="false" customHeight="true" outlineLevel="0" collapsed="false">
      <c r="A93" s="13"/>
      <c r="B93" s="13"/>
      <c r="C93" s="13"/>
      <c r="D93" s="13"/>
      <c r="E93" s="13"/>
      <c r="F93" s="13"/>
      <c r="G93" s="13"/>
      <c r="H93" s="15"/>
      <c r="I93" s="13"/>
      <c r="J93" s="13"/>
      <c r="K93" s="13"/>
      <c r="L93" s="13"/>
      <c r="M93" s="15"/>
      <c r="N93" s="13"/>
      <c r="O93" s="13"/>
      <c r="P93" s="13"/>
      <c r="Q93" s="13"/>
    </row>
    <row r="94" customFormat="false" ht="12" hidden="false" customHeight="true" outlineLevel="0" collapsed="false">
      <c r="A94" s="7" t="s">
        <v>12</v>
      </c>
      <c r="B94" s="19" t="e">
        <f aca="false">SUM(B14:B92)</f>
        <v>#N/A</v>
      </c>
      <c r="C94" s="19" t="e">
        <f aca="false">SUM(C14:C92)</f>
        <v>#N/A</v>
      </c>
      <c r="D94" s="19" t="e">
        <f aca="false">SUM(D14:D92)</f>
        <v>#N/A</v>
      </c>
      <c r="E94" s="19" t="e">
        <f aca="false">SUM(E14:E92)</f>
        <v>#N/A</v>
      </c>
      <c r="F94" s="19" t="e">
        <f aca="false">SUM(F14:F92)</f>
        <v>#N/A</v>
      </c>
      <c r="G94" s="19" t="e">
        <f aca="false">SUM(G14:G92)</f>
        <v>#N/A</v>
      </c>
      <c r="H94" s="20" t="e">
        <f aca="false">SUM(H14:H92)</f>
        <v>#N/A</v>
      </c>
      <c r="I94" s="19" t="e">
        <f aca="false">SUM(I14:I92)</f>
        <v>#N/A</v>
      </c>
      <c r="J94" s="19" t="e">
        <f aca="false">SUM(J14:J92)</f>
        <v>#N/A</v>
      </c>
      <c r="K94" s="19" t="e">
        <f aca="false">SUM(K14:K92)</f>
        <v>#N/A</v>
      </c>
      <c r="L94" s="19" t="e">
        <f aca="false">SUM(L14:L92)</f>
        <v>#N/A</v>
      </c>
      <c r="M94" s="20" t="e">
        <f aca="false">SUM(M14:M92)</f>
        <v>#N/A</v>
      </c>
      <c r="N94" s="19" t="e">
        <f aca="false">SUM(N14:N92)</f>
        <v>#N/A</v>
      </c>
      <c r="O94" s="19" t="e">
        <f aca="false">SUM(O14:O92)</f>
        <v>#N/A</v>
      </c>
      <c r="P94" s="19" t="e">
        <f aca="false">SUM(P14:P92)</f>
        <v>#N/A</v>
      </c>
      <c r="Q94" s="19" t="e">
        <f aca="false">SUM(Q14:Q92)</f>
        <v>#N/A</v>
      </c>
    </row>
    <row r="95" customFormat="false" ht="12" hidden="false" customHeight="true" outlineLevel="0" collapsed="false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3"/>
    </row>
    <row r="96" customFormat="false" ht="12" hidden="false" customHeight="true" outlineLevel="0" collapsed="false">
      <c r="A96" s="24" t="s">
        <v>98</v>
      </c>
      <c r="J96" s="3" t="s">
        <v>99</v>
      </c>
      <c r="Q96" s="25"/>
    </row>
    <row r="97" customFormat="false" ht="12" hidden="false" customHeight="true" outlineLevel="0" collapsed="false">
      <c r="A97" s="24" t="s">
        <v>100</v>
      </c>
      <c r="J97" s="3" t="s">
        <v>101</v>
      </c>
      <c r="Q97" s="25"/>
    </row>
    <row r="98" customFormat="false" ht="12" hidden="false" customHeight="true" outlineLevel="0" collapsed="false">
      <c r="A98" s="24" t="s">
        <v>102</v>
      </c>
      <c r="J98" s="3" t="s">
        <v>103</v>
      </c>
      <c r="Q98" s="25"/>
    </row>
    <row r="99" customFormat="false" ht="12" hidden="false" customHeight="true" outlineLevel="0" collapsed="false">
      <c r="A99" s="26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8"/>
    </row>
    <row r="101" customFormat="false" ht="12" hidden="false" customHeight="true" outlineLevel="0" collapsed="false">
      <c r="A101" s="3" t="s">
        <v>104</v>
      </c>
      <c r="B101" s="3" t="s">
        <v>105</v>
      </c>
    </row>
  </sheetData>
  <mergeCells count="5">
    <mergeCell ref="A1:Q1"/>
    <mergeCell ref="C6:O6"/>
    <mergeCell ref="B7:G7"/>
    <mergeCell ref="H7:M7"/>
    <mergeCell ref="F8:G8"/>
  </mergeCells>
  <printOptions headings="false" gridLines="tru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