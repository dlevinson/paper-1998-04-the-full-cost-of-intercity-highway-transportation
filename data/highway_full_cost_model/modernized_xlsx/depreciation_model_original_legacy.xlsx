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ress" sheetId="1" state="visible" r:id="rId3"/>
    <sheet name="Cobb-Doug" sheetId="2" state="visible" r:id="rId4"/>
    <sheet name="Data" sheetId="3" state="visible" r:id="rId5"/>
    <sheet name="Sheet2" sheetId="4" state="visible" r:id="rId6"/>
    <sheet name="Sheet3" sheetId="5" state="visible" r:id="rId7"/>
    <sheet name="Sheet4" sheetId="6" state="visible" r:id="rId8"/>
    <sheet name="Sheet5" sheetId="7" state="visible" r:id="rId9"/>
    <sheet name="Sheet6" sheetId="8" state="visible" r:id="rId10"/>
    <sheet name="Sheet7" sheetId="9" state="visible" r:id="rId11"/>
    <sheet name="Sheet8" sheetId="10" state="visible" r:id="rId12"/>
    <sheet name="Sheet9" sheetId="11" state="visible" r:id="rId13"/>
    <sheet name="Sheet10" sheetId="12" state="visible" r:id="rId14"/>
    <sheet name="Sheet11" sheetId="13" state="visible" r:id="rId15"/>
    <sheet name="Sheet12" sheetId="14" state="visible" r:id="rId16"/>
    <sheet name="Sheet13" sheetId="15" state="visible" r:id="rId17"/>
    <sheet name="Sheet14" sheetId="16" state="visible" r:id="rId18"/>
    <sheet name="Sheet15" sheetId="17" state="visible" r:id="rId19"/>
    <sheet name="Sheet16" sheetId="18" state="visible" r:id="rId2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<sst xmlns="http://schemas.openxmlformats.org/spreadsheetml/2006/main" count="75" uniqueCount="39">
  <si>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</si>
  <si>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</si>
  <si>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</si>
  <si>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</si>
  <si>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</si>
  <si>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</si>
  <si>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</si>
  <si>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</si>
  <si>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</si>
  <si>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</si>
  <si>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</si>
  <si>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</si>
  <si>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</si>
  <si>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</si>
  <si>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</si>
  <si>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</si>
  <si>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</si>
  <si>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</si>
  <si>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</si>
  <si>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</si>
  <si>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</si>
  <si>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</si>
  <si>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</si>
  <si>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</si>
  <si>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Taurus</t>
  </si>
  <si>
    <t xml:space="preserve">Year</t>
  </si>
  <si>
    <t xml:space="preserve">Mile</t>
  </si>
  <si>
    <t xml:space="preserve">X Variable 1</t>
  </si>
  <si>
    <t xml:space="preserve">X Variable 2</t>
  </si>
  <si>
    <t xml:space="preserve">X Variable 3</t>
  </si>
  <si>
    <t xml:space="preserve">Regression of Automobile Miles and Age on Price</t>
  </si>
  <si>
    <t xml:space="preserve">sources: www.autoweb.com (12/17/95)</t>
  </si>
  <si>
    <t xml:space="preserve">Model (1=Taurus,0=Accord)</t>
  </si>
  <si>
    <t xml:space="preserve">Age (1996-Year)</t>
  </si>
  <si>
    <t xml:space="preserve">Miles</t>
  </si>
  <si>
    <t xml:space="preserve">Prices (asking)</t>
  </si>
  <si>
    <t xml:space="preserve">Age </t>
  </si>
  <si>
    <t xml:space="preserve">Asking Price</t>
  </si>
  <si>
    <t xml:space="preserve">Regression Model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</si>
</sst>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Geneva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Miles vs. 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81981914655108"/>
          <c:y val="0.251201923076923"/>
          <c:w val="0.897840221209177"/>
          <c:h val="0.604223901098901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Miles</c:v>
                </c:pt>
              </c:strCache>
            </c:strRef>
          </c:tx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Data!$B$3:$B$36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</c:numCache>
            </c:numRef>
          </c:xVal>
          <c:yVal>
            <c:numRef>
              <c:f>Data!$C$3:$C$36</c:f>
              <c:numCache>
                <c:formatCode>General</c:formatCode>
                <c:ptCount val="34"/>
                <c:pt idx="0">
                  <c:v>11200</c:v>
                </c:pt>
                <c:pt idx="1">
                  <c:v>38800</c:v>
                </c:pt>
                <c:pt idx="2">
                  <c:v>43593</c:v>
                </c:pt>
                <c:pt idx="3">
                  <c:v>18344</c:v>
                </c:pt>
                <c:pt idx="4">
                  <c:v>23000</c:v>
                </c:pt>
                <c:pt idx="5">
                  <c:v>16000</c:v>
                </c:pt>
                <c:pt idx="6">
                  <c:v>53093</c:v>
                </c:pt>
                <c:pt idx="7">
                  <c:v>21000</c:v>
                </c:pt>
                <c:pt idx="8">
                  <c:v>42143</c:v>
                </c:pt>
                <c:pt idx="9">
                  <c:v>49195</c:v>
                </c:pt>
                <c:pt idx="10">
                  <c:v>40950</c:v>
                </c:pt>
                <c:pt idx="11">
                  <c:v>46000</c:v>
                </c:pt>
                <c:pt idx="12">
                  <c:v>54580</c:v>
                </c:pt>
                <c:pt idx="13">
                  <c:v>78653</c:v>
                </c:pt>
                <c:pt idx="14">
                  <c:v>50149</c:v>
                </c:pt>
                <c:pt idx="15">
                  <c:v>106869</c:v>
                </c:pt>
                <c:pt idx="16">
                  <c:v>90000</c:v>
                </c:pt>
                <c:pt idx="17">
                  <c:v>120000</c:v>
                </c:pt>
                <c:pt idx="18">
                  <c:v>72861</c:v>
                </c:pt>
                <c:pt idx="19">
                  <c:v>87649</c:v>
                </c:pt>
                <c:pt idx="20">
                  <c:v>70000</c:v>
                </c:pt>
                <c:pt idx="21">
                  <c:v>78900</c:v>
                </c:pt>
                <c:pt idx="22">
                  <c:v>97000</c:v>
                </c:pt>
                <c:pt idx="23">
                  <c:v>110000</c:v>
                </c:pt>
                <c:pt idx="24">
                  <c:v>130000</c:v>
                </c:pt>
                <c:pt idx="25">
                  <c:v>71000</c:v>
                </c:pt>
                <c:pt idx="26">
                  <c:v>80000</c:v>
                </c:pt>
                <c:pt idx="27">
                  <c:v>96654</c:v>
                </c:pt>
                <c:pt idx="28">
                  <c:v>120000</c:v>
                </c:pt>
                <c:pt idx="29">
                  <c:v>94000</c:v>
                </c:pt>
                <c:pt idx="30">
                  <c:v>76000</c:v>
                </c:pt>
                <c:pt idx="31">
                  <c:v>91000</c:v>
                </c:pt>
                <c:pt idx="32">
                  <c:v>103000</c:v>
                </c:pt>
                <c:pt idx="33">
                  <c:v>128000</c:v>
                </c:pt>
              </c:numCache>
            </c:numRef>
          </c:yVal>
          <c:smooth val="0"/>
        </c:ser>
        <c:axId val="24089753"/>
        <c:axId val="79519268"/>
      </c:scatterChart>
      <c:valAx>
        <c:axId val="240897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Age (Years)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9519268"/>
        <c:crossesAt val="0"/>
        <c:crossBetween val="midCat"/>
      </c:valAx>
      <c:valAx>
        <c:axId val="7951926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Miles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4089753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Price vs. Miles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4633431085044"/>
          <c:y val="0.187079248848471"/>
          <c:w val="0.919354838709677"/>
          <c:h val="0.711940474784457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Data!$E$2</c:f>
              <c:strCache>
                <c:ptCount val="1"/>
                <c:pt idx="0">
                  <c:v>Prices (asking)</c:v>
                </c:pt>
              </c:strCache>
            </c:strRef>
          </c:tx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Data!$C$3:$C$36</c:f>
              <c:numCache>
                <c:formatCode>General</c:formatCode>
                <c:ptCount val="34"/>
                <c:pt idx="0">
                  <c:v>11200</c:v>
                </c:pt>
                <c:pt idx="1">
                  <c:v>38800</c:v>
                </c:pt>
                <c:pt idx="2">
                  <c:v>43593</c:v>
                </c:pt>
                <c:pt idx="3">
                  <c:v>18344</c:v>
                </c:pt>
                <c:pt idx="4">
                  <c:v>23000</c:v>
                </c:pt>
                <c:pt idx="5">
                  <c:v>16000</c:v>
                </c:pt>
                <c:pt idx="6">
                  <c:v>53093</c:v>
                </c:pt>
                <c:pt idx="7">
                  <c:v>21000</c:v>
                </c:pt>
                <c:pt idx="8">
                  <c:v>42143</c:v>
                </c:pt>
                <c:pt idx="9">
                  <c:v>49195</c:v>
                </c:pt>
                <c:pt idx="10">
                  <c:v>40950</c:v>
                </c:pt>
                <c:pt idx="11">
                  <c:v>46000</c:v>
                </c:pt>
                <c:pt idx="12">
                  <c:v>54580</c:v>
                </c:pt>
                <c:pt idx="13">
                  <c:v>78653</c:v>
                </c:pt>
                <c:pt idx="14">
                  <c:v>50149</c:v>
                </c:pt>
                <c:pt idx="15">
                  <c:v>106869</c:v>
                </c:pt>
                <c:pt idx="16">
                  <c:v>90000</c:v>
                </c:pt>
                <c:pt idx="17">
                  <c:v>120000</c:v>
                </c:pt>
                <c:pt idx="18">
                  <c:v>72861</c:v>
                </c:pt>
                <c:pt idx="19">
                  <c:v>87649</c:v>
                </c:pt>
                <c:pt idx="20">
                  <c:v>70000</c:v>
                </c:pt>
                <c:pt idx="21">
                  <c:v>78900</c:v>
                </c:pt>
                <c:pt idx="22">
                  <c:v>97000</c:v>
                </c:pt>
                <c:pt idx="23">
                  <c:v>110000</c:v>
                </c:pt>
                <c:pt idx="24">
                  <c:v>130000</c:v>
                </c:pt>
                <c:pt idx="25">
                  <c:v>71000</c:v>
                </c:pt>
                <c:pt idx="26">
                  <c:v>80000</c:v>
                </c:pt>
                <c:pt idx="27">
                  <c:v>96654</c:v>
                </c:pt>
                <c:pt idx="28">
                  <c:v>120000</c:v>
                </c:pt>
                <c:pt idx="29">
                  <c:v>94000</c:v>
                </c:pt>
                <c:pt idx="30">
                  <c:v>76000</c:v>
                </c:pt>
                <c:pt idx="31">
                  <c:v>91000</c:v>
                </c:pt>
                <c:pt idx="32">
                  <c:v>103000</c:v>
                </c:pt>
                <c:pt idx="33">
                  <c:v>128000</c:v>
                </c:pt>
              </c:numCache>
            </c:numRef>
          </c:xVal>
          <c:yVal>
            <c:numRef>
              <c:f>Data!$E$3:$E$36</c:f>
              <c:numCache>
                <c:formatCode>General</c:formatCode>
                <c:ptCount val="34"/>
                <c:pt idx="0">
                  <c:v>19500</c:v>
                </c:pt>
                <c:pt idx="1">
                  <c:v>11994</c:v>
                </c:pt>
                <c:pt idx="2">
                  <c:v>16995</c:v>
                </c:pt>
                <c:pt idx="3">
                  <c:v>16995</c:v>
                </c:pt>
                <c:pt idx="4">
                  <c:v>15900</c:v>
                </c:pt>
                <c:pt idx="5">
                  <c:v>15850</c:v>
                </c:pt>
                <c:pt idx="6">
                  <c:v>15995</c:v>
                </c:pt>
                <c:pt idx="7">
                  <c:v>12700</c:v>
                </c:pt>
                <c:pt idx="8">
                  <c:v>14995</c:v>
                </c:pt>
                <c:pt idx="9">
                  <c:v>16500</c:v>
                </c:pt>
                <c:pt idx="10">
                  <c:v>19665</c:v>
                </c:pt>
                <c:pt idx="11">
                  <c:v>12950</c:v>
                </c:pt>
                <c:pt idx="12">
                  <c:v>12880</c:v>
                </c:pt>
                <c:pt idx="13">
                  <c:v>9880</c:v>
                </c:pt>
                <c:pt idx="14">
                  <c:v>13995</c:v>
                </c:pt>
                <c:pt idx="15">
                  <c:v>12980</c:v>
                </c:pt>
                <c:pt idx="16">
                  <c:v>12495</c:v>
                </c:pt>
                <c:pt idx="17">
                  <c:v>10900</c:v>
                </c:pt>
                <c:pt idx="18">
                  <c:v>12995</c:v>
                </c:pt>
                <c:pt idx="19">
                  <c:v>12995</c:v>
                </c:pt>
                <c:pt idx="20">
                  <c:v>12000</c:v>
                </c:pt>
                <c:pt idx="21">
                  <c:v>8000</c:v>
                </c:pt>
                <c:pt idx="22">
                  <c:v>10500</c:v>
                </c:pt>
                <c:pt idx="23">
                  <c:v>2000</c:v>
                </c:pt>
                <c:pt idx="24">
                  <c:v>5500</c:v>
                </c:pt>
                <c:pt idx="25">
                  <c:v>12000</c:v>
                </c:pt>
                <c:pt idx="26">
                  <c:v>4600</c:v>
                </c:pt>
                <c:pt idx="27">
                  <c:v>6000</c:v>
                </c:pt>
                <c:pt idx="28">
                  <c:v>4900</c:v>
                </c:pt>
                <c:pt idx="29">
                  <c:v>5500</c:v>
                </c:pt>
                <c:pt idx="30">
                  <c:v>3200</c:v>
                </c:pt>
                <c:pt idx="31">
                  <c:v>5850</c:v>
                </c:pt>
                <c:pt idx="32">
                  <c:v>4000</c:v>
                </c:pt>
                <c:pt idx="33">
                  <c:v>3250</c:v>
                </c:pt>
              </c:numCache>
            </c:numRef>
          </c:yVal>
          <c:smooth val="0"/>
        </c:ser>
        <c:axId val="45411664"/>
        <c:axId val="43630710"/>
      </c:scatterChart>
      <c:valAx>
        <c:axId val="454116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3630710"/>
        <c:crossesAt val="0"/>
        <c:crossBetween val="midCat"/>
      </c:valAx>
      <c:valAx>
        <c:axId val="4363071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Miles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5411664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Price vs. 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12754620636066"/>
          <c:y val="0.198941665616732"/>
          <c:w val="0.923683188100128"/>
          <c:h val="0.69346100541766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Data!$E$2</c:f>
              <c:strCache>
                <c:ptCount val="1"/>
                <c:pt idx="0">
                  <c:v>Prices (asking)</c:v>
                </c:pt>
              </c:strCache>
            </c:strRef>
          </c:tx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Data!$D$3:$D$36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</c:numCache>
            </c:numRef>
          </c:xVal>
          <c:yVal>
            <c:numRef>
              <c:f>Data!$E$3:$E$36</c:f>
              <c:numCache>
                <c:formatCode>General</c:formatCode>
                <c:ptCount val="34"/>
                <c:pt idx="0">
                  <c:v>19500</c:v>
                </c:pt>
                <c:pt idx="1">
                  <c:v>11994</c:v>
                </c:pt>
                <c:pt idx="2">
                  <c:v>16995</c:v>
                </c:pt>
                <c:pt idx="3">
                  <c:v>16995</c:v>
                </c:pt>
                <c:pt idx="4">
                  <c:v>15900</c:v>
                </c:pt>
                <c:pt idx="5">
                  <c:v>15850</c:v>
                </c:pt>
                <c:pt idx="6">
                  <c:v>15995</c:v>
                </c:pt>
                <c:pt idx="7">
                  <c:v>12700</c:v>
                </c:pt>
                <c:pt idx="8">
                  <c:v>14995</c:v>
                </c:pt>
                <c:pt idx="9">
                  <c:v>16500</c:v>
                </c:pt>
                <c:pt idx="10">
                  <c:v>19665</c:v>
                </c:pt>
                <c:pt idx="11">
                  <c:v>12950</c:v>
                </c:pt>
                <c:pt idx="12">
                  <c:v>12880</c:v>
                </c:pt>
                <c:pt idx="13">
                  <c:v>9880</c:v>
                </c:pt>
                <c:pt idx="14">
                  <c:v>13995</c:v>
                </c:pt>
                <c:pt idx="15">
                  <c:v>12980</c:v>
                </c:pt>
                <c:pt idx="16">
                  <c:v>12495</c:v>
                </c:pt>
                <c:pt idx="17">
                  <c:v>10900</c:v>
                </c:pt>
                <c:pt idx="18">
                  <c:v>12995</c:v>
                </c:pt>
                <c:pt idx="19">
                  <c:v>12995</c:v>
                </c:pt>
                <c:pt idx="20">
                  <c:v>12000</c:v>
                </c:pt>
                <c:pt idx="21">
                  <c:v>8000</c:v>
                </c:pt>
                <c:pt idx="22">
                  <c:v>10500</c:v>
                </c:pt>
                <c:pt idx="23">
                  <c:v>2000</c:v>
                </c:pt>
                <c:pt idx="24">
                  <c:v>5500</c:v>
                </c:pt>
                <c:pt idx="25">
                  <c:v>12000</c:v>
                </c:pt>
                <c:pt idx="26">
                  <c:v>4600</c:v>
                </c:pt>
                <c:pt idx="27">
                  <c:v>6000</c:v>
                </c:pt>
                <c:pt idx="28">
                  <c:v>4900</c:v>
                </c:pt>
                <c:pt idx="29">
                  <c:v>5500</c:v>
                </c:pt>
                <c:pt idx="30">
                  <c:v>3200</c:v>
                </c:pt>
                <c:pt idx="31">
                  <c:v>5850</c:v>
                </c:pt>
                <c:pt idx="32">
                  <c:v>4000</c:v>
                </c:pt>
                <c:pt idx="33">
                  <c:v>3250</c:v>
                </c:pt>
              </c:numCache>
            </c:numRef>
          </c:yVal>
          <c:smooth val="0"/>
        </c:ser>
        <c:axId val="11839067"/>
        <c:axId val="51244354"/>
      </c:scatterChart>
      <c:valAx>
        <c:axId val="118390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Age (Years)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1244354"/>
        <c:crossesAt val="0"/>
        <c:crossBetween val="midCat"/>
      </c:valAx>
      <c:valAx>
        <c:axId val="5124435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1839067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Asking Price</c:v>
                </c:pt>
              </c:strCache>
            </c:strRef>
          </c:tx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Sheet2!$A$2:$A$35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</c:numCache>
            </c:numRef>
          </c:xVal>
          <c:yVal>
            <c:numRef>
              <c:f>Sheet2!$B$2:$B$35</c:f>
              <c:numCache>
                <c:formatCode>General</c:formatCode>
                <c:ptCount val="34"/>
                <c:pt idx="0">
                  <c:v>19500</c:v>
                </c:pt>
                <c:pt idx="1">
                  <c:v>11994</c:v>
                </c:pt>
                <c:pt idx="2">
                  <c:v>12700</c:v>
                </c:pt>
                <c:pt idx="3">
                  <c:v>15850</c:v>
                </c:pt>
                <c:pt idx="4">
                  <c:v>15900</c:v>
                </c:pt>
                <c:pt idx="5">
                  <c:v>15995</c:v>
                </c:pt>
                <c:pt idx="6">
                  <c:v>16995</c:v>
                </c:pt>
                <c:pt idx="7">
                  <c:v>16995</c:v>
                </c:pt>
                <c:pt idx="8">
                  <c:v>12950</c:v>
                </c:pt>
                <c:pt idx="9">
                  <c:v>14995</c:v>
                </c:pt>
                <c:pt idx="10">
                  <c:v>16500</c:v>
                </c:pt>
                <c:pt idx="11">
                  <c:v>19665</c:v>
                </c:pt>
                <c:pt idx="12">
                  <c:v>9880</c:v>
                </c:pt>
                <c:pt idx="13">
                  <c:v>10900</c:v>
                </c:pt>
                <c:pt idx="14">
                  <c:v>12495</c:v>
                </c:pt>
                <c:pt idx="15">
                  <c:v>12880</c:v>
                </c:pt>
                <c:pt idx="16">
                  <c:v>12980</c:v>
                </c:pt>
                <c:pt idx="17">
                  <c:v>13995</c:v>
                </c:pt>
                <c:pt idx="18">
                  <c:v>12000</c:v>
                </c:pt>
                <c:pt idx="19">
                  <c:v>12995</c:v>
                </c:pt>
                <c:pt idx="20">
                  <c:v>12995</c:v>
                </c:pt>
                <c:pt idx="21">
                  <c:v>8000</c:v>
                </c:pt>
                <c:pt idx="22">
                  <c:v>10500</c:v>
                </c:pt>
                <c:pt idx="23">
                  <c:v>2000</c:v>
                </c:pt>
                <c:pt idx="24">
                  <c:v>5500</c:v>
                </c:pt>
                <c:pt idx="25">
                  <c:v>12000</c:v>
                </c:pt>
                <c:pt idx="26">
                  <c:v>4600</c:v>
                </c:pt>
                <c:pt idx="27">
                  <c:v>4900</c:v>
                </c:pt>
                <c:pt idx="28">
                  <c:v>5500</c:v>
                </c:pt>
                <c:pt idx="29">
                  <c:v>6000</c:v>
                </c:pt>
                <c:pt idx="30">
                  <c:v>3200</c:v>
                </c:pt>
                <c:pt idx="31">
                  <c:v>4000</c:v>
                </c:pt>
                <c:pt idx="32">
                  <c:v>5850</c:v>
                </c:pt>
                <c:pt idx="33">
                  <c:v>3250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Regression Model</c:v>
                </c:pt>
              </c:strCache>
            </c:strRef>
          </c:tx>
          <c:spPr>
            <a:solidFill>
              <a:srgbClr val="FF00FF"/>
            </a:solidFill>
            <a:ln w="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Sheet2!$A$2:$A$35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</c:numCache>
            </c:numRef>
          </c:xVal>
          <c:yVal>
            <c:numRef>
              <c:f>Sheet2!$C$2:$C$35</c:f>
              <c:numCache>
                <c:formatCode>General</c:formatCode>
                <c:ptCount val="34"/>
                <c:pt idx="0">
                  <c:v>18439.8741479791</c:v>
                </c:pt>
                <c:pt idx="1">
                  <c:v>13703.9594105896</c:v>
                </c:pt>
                <c:pt idx="2">
                  <c:v>16859.0370361135</c:v>
                </c:pt>
                <c:pt idx="3">
                  <c:v>16976.1266579349</c:v>
                </c:pt>
                <c:pt idx="4">
                  <c:v>16812.2011873849</c:v>
                </c:pt>
                <c:pt idx="5">
                  <c:v>16107.4855894904</c:v>
                </c:pt>
                <c:pt idx="6">
                  <c:v>16329.9558709512</c:v>
                </c:pt>
                <c:pt idx="7">
                  <c:v>16921.2350432251</c:v>
                </c:pt>
                <c:pt idx="8">
                  <c:v>14922.2474739108</c:v>
                </c:pt>
                <c:pt idx="9">
                  <c:v>15012.5704081839</c:v>
                </c:pt>
                <c:pt idx="10">
                  <c:v>14847.4272055669</c:v>
                </c:pt>
                <c:pt idx="11">
                  <c:v>15040.5079919505</c:v>
                </c:pt>
                <c:pt idx="12">
                  <c:v>10068.0019647086</c:v>
                </c:pt>
                <c:pt idx="13">
                  <c:v>11837.979617858</c:v>
                </c:pt>
                <c:pt idx="14">
                  <c:v>12540.5173487866</c:v>
                </c:pt>
                <c:pt idx="15">
                  <c:v>10631.7416579301</c:v>
                </c:pt>
                <c:pt idx="16">
                  <c:v>12145.4803826855</c:v>
                </c:pt>
                <c:pt idx="17">
                  <c:v>13473.7450526278</c:v>
                </c:pt>
                <c:pt idx="18">
                  <c:v>11657.5343829768</c:v>
                </c:pt>
                <c:pt idx="19">
                  <c:v>11590.5357013706</c:v>
                </c:pt>
                <c:pt idx="20">
                  <c:v>11244.2314358715</c:v>
                </c:pt>
                <c:pt idx="21">
                  <c:v>10097.7734030392</c:v>
                </c:pt>
                <c:pt idx="22">
                  <c:v>9673.90897204557</c:v>
                </c:pt>
                <c:pt idx="23">
                  <c:v>5279.8959303747</c:v>
                </c:pt>
                <c:pt idx="24">
                  <c:v>4811.53744308896</c:v>
                </c:pt>
                <c:pt idx="25">
                  <c:v>8931.4335524215</c:v>
                </c:pt>
                <c:pt idx="26">
                  <c:v>4631.09220820777</c:v>
                </c:pt>
                <c:pt idx="27">
                  <c:v>6432.6138054759</c:v>
                </c:pt>
                <c:pt idx="28">
                  <c:v>7041.47983894736</c:v>
                </c:pt>
                <c:pt idx="29">
                  <c:v>6979.32866768454</c:v>
                </c:pt>
                <c:pt idx="30">
                  <c:v>3373.42245256939</c:v>
                </c:pt>
                <c:pt idx="31">
                  <c:v>5479.37706657324</c:v>
                </c:pt>
                <c:pt idx="32">
                  <c:v>5760.39215894469</c:v>
                </c:pt>
                <c:pt idx="33">
                  <c:v>804.348932530934</c:v>
                </c:pt>
              </c:numCache>
            </c:numRef>
          </c:yVal>
          <c:smooth val="0"/>
        </c:ser>
        <c:axId val="78391461"/>
        <c:axId val="17137136"/>
      </c:scatterChart>
      <c:valAx>
        <c:axId val="7839146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7137136"/>
        <c:crossesAt val="0"/>
        <c:crossBetween val="midCat"/>
      </c:valAx>
      <c:valAx>
        <c:axId val="17137136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8391461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Age vs. Price (Observed and Model)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Asking Price</c:v>
                </c:pt>
              </c:strCache>
            </c:strRef>
          </c:tx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Sheet2!$A$2:$A$35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</c:numCache>
            </c:numRef>
          </c:xVal>
          <c:yVal>
            <c:numRef>
              <c:f>Sheet2!$B$2:$B$35</c:f>
              <c:numCache>
                <c:formatCode>General</c:formatCode>
                <c:ptCount val="34"/>
                <c:pt idx="0">
                  <c:v>19500</c:v>
                </c:pt>
                <c:pt idx="1">
                  <c:v>11994</c:v>
                </c:pt>
                <c:pt idx="2">
                  <c:v>12700</c:v>
                </c:pt>
                <c:pt idx="3">
                  <c:v>15850</c:v>
                </c:pt>
                <c:pt idx="4">
                  <c:v>15900</c:v>
                </c:pt>
                <c:pt idx="5">
                  <c:v>15995</c:v>
                </c:pt>
                <c:pt idx="6">
                  <c:v>16995</c:v>
                </c:pt>
                <c:pt idx="7">
                  <c:v>16995</c:v>
                </c:pt>
                <c:pt idx="8">
                  <c:v>12950</c:v>
                </c:pt>
                <c:pt idx="9">
                  <c:v>14995</c:v>
                </c:pt>
                <c:pt idx="10">
                  <c:v>16500</c:v>
                </c:pt>
                <c:pt idx="11">
                  <c:v>19665</c:v>
                </c:pt>
                <c:pt idx="12">
                  <c:v>9880</c:v>
                </c:pt>
                <c:pt idx="13">
                  <c:v>10900</c:v>
                </c:pt>
                <c:pt idx="14">
                  <c:v>12495</c:v>
                </c:pt>
                <c:pt idx="15">
                  <c:v>12880</c:v>
                </c:pt>
                <c:pt idx="16">
                  <c:v>12980</c:v>
                </c:pt>
                <c:pt idx="17">
                  <c:v>13995</c:v>
                </c:pt>
                <c:pt idx="18">
                  <c:v>12000</c:v>
                </c:pt>
                <c:pt idx="19">
                  <c:v>12995</c:v>
                </c:pt>
                <c:pt idx="20">
                  <c:v>12995</c:v>
                </c:pt>
                <c:pt idx="21">
                  <c:v>8000</c:v>
                </c:pt>
                <c:pt idx="22">
                  <c:v>10500</c:v>
                </c:pt>
                <c:pt idx="23">
                  <c:v>2000</c:v>
                </c:pt>
                <c:pt idx="24">
                  <c:v>5500</c:v>
                </c:pt>
                <c:pt idx="25">
                  <c:v>12000</c:v>
                </c:pt>
                <c:pt idx="26">
                  <c:v>4600</c:v>
                </c:pt>
                <c:pt idx="27">
                  <c:v>4900</c:v>
                </c:pt>
                <c:pt idx="28">
                  <c:v>5500</c:v>
                </c:pt>
                <c:pt idx="29">
                  <c:v>6000</c:v>
                </c:pt>
                <c:pt idx="30">
                  <c:v>3200</c:v>
                </c:pt>
                <c:pt idx="31">
                  <c:v>4000</c:v>
                </c:pt>
                <c:pt idx="32">
                  <c:v>5850</c:v>
                </c:pt>
                <c:pt idx="33">
                  <c:v>3250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Regression Model</c:v>
                </c:pt>
              </c:strCache>
            </c:strRef>
          </c:tx>
          <c:spPr>
            <a:solidFill>
              <a:srgbClr val="FF00FF"/>
            </a:solidFill>
            <a:ln w="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Sheet2!$A$2:$A$35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</c:numCache>
            </c:numRef>
          </c:xVal>
          <c:yVal>
            <c:numRef>
              <c:f>Sheet2!$C$2:$C$35</c:f>
              <c:numCache>
                <c:formatCode>General</c:formatCode>
                <c:ptCount val="34"/>
                <c:pt idx="0">
                  <c:v>18439.8741479791</c:v>
                </c:pt>
                <c:pt idx="1">
                  <c:v>13703.9594105896</c:v>
                </c:pt>
                <c:pt idx="2">
                  <c:v>16859.0370361135</c:v>
                </c:pt>
                <c:pt idx="3">
                  <c:v>16976.1266579349</c:v>
                </c:pt>
                <c:pt idx="4">
                  <c:v>16812.2011873849</c:v>
                </c:pt>
                <c:pt idx="5">
                  <c:v>16107.4855894904</c:v>
                </c:pt>
                <c:pt idx="6">
                  <c:v>16329.9558709512</c:v>
                </c:pt>
                <c:pt idx="7">
                  <c:v>16921.2350432251</c:v>
                </c:pt>
                <c:pt idx="8">
                  <c:v>14922.2474739108</c:v>
                </c:pt>
                <c:pt idx="9">
                  <c:v>15012.5704081839</c:v>
                </c:pt>
                <c:pt idx="10">
                  <c:v>14847.4272055669</c:v>
                </c:pt>
                <c:pt idx="11">
                  <c:v>15040.5079919505</c:v>
                </c:pt>
                <c:pt idx="12">
                  <c:v>10068.0019647086</c:v>
                </c:pt>
                <c:pt idx="13">
                  <c:v>11837.979617858</c:v>
                </c:pt>
                <c:pt idx="14">
                  <c:v>12540.5173487866</c:v>
                </c:pt>
                <c:pt idx="15">
                  <c:v>10631.7416579301</c:v>
                </c:pt>
                <c:pt idx="16">
                  <c:v>12145.4803826855</c:v>
                </c:pt>
                <c:pt idx="17">
                  <c:v>13473.7450526278</c:v>
                </c:pt>
                <c:pt idx="18">
                  <c:v>11657.5343829768</c:v>
                </c:pt>
                <c:pt idx="19">
                  <c:v>11590.5357013706</c:v>
                </c:pt>
                <c:pt idx="20">
                  <c:v>11244.2314358715</c:v>
                </c:pt>
                <c:pt idx="21">
                  <c:v>10097.7734030392</c:v>
                </c:pt>
                <c:pt idx="22">
                  <c:v>9673.90897204557</c:v>
                </c:pt>
                <c:pt idx="23">
                  <c:v>5279.8959303747</c:v>
                </c:pt>
                <c:pt idx="24">
                  <c:v>4811.53744308896</c:v>
                </c:pt>
                <c:pt idx="25">
                  <c:v>8931.4335524215</c:v>
                </c:pt>
                <c:pt idx="26">
                  <c:v>4631.09220820777</c:v>
                </c:pt>
                <c:pt idx="27">
                  <c:v>6432.6138054759</c:v>
                </c:pt>
                <c:pt idx="28">
                  <c:v>7041.47983894736</c:v>
                </c:pt>
                <c:pt idx="29">
                  <c:v>6979.32866768454</c:v>
                </c:pt>
                <c:pt idx="30">
                  <c:v>3373.42245256939</c:v>
                </c:pt>
                <c:pt idx="31">
                  <c:v>5479.37706657324</c:v>
                </c:pt>
                <c:pt idx="32">
                  <c:v>5760.39215894469</c:v>
                </c:pt>
                <c:pt idx="33">
                  <c:v>804.348932530934</c:v>
                </c:pt>
              </c:numCache>
            </c:numRef>
          </c:yVal>
          <c:smooth val="0"/>
        </c:ser>
        <c:axId val="57399270"/>
        <c:axId val="46474652"/>
      </c:scatterChart>
      <c:valAx>
        <c:axId val="573992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Age (Years)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6474652"/>
        <c:crossesAt val="0"/>
        <c:crossBetween val="midCat"/>
      </c:valAx>
      <c:valAx>
        <c:axId val="4647465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7399270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b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Miles vs. Price (Observed and Model)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Asking Price</c:v>
                </c:pt>
              </c:strCache>
            </c:strRef>
          </c:tx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Sheet2!$E$2:$E$35</c:f>
              <c:numCache>
                <c:formatCode>General</c:formatCode>
                <c:ptCount val="34"/>
                <c:pt idx="0">
                  <c:v>11200</c:v>
                </c:pt>
                <c:pt idx="1">
                  <c:v>16000</c:v>
                </c:pt>
                <c:pt idx="2">
                  <c:v>18344</c:v>
                </c:pt>
                <c:pt idx="3">
                  <c:v>21000</c:v>
                </c:pt>
                <c:pt idx="4">
                  <c:v>23000</c:v>
                </c:pt>
                <c:pt idx="5">
                  <c:v>38800</c:v>
                </c:pt>
                <c:pt idx="6">
                  <c:v>40950</c:v>
                </c:pt>
                <c:pt idx="7">
                  <c:v>42143</c:v>
                </c:pt>
                <c:pt idx="8">
                  <c:v>43593</c:v>
                </c:pt>
                <c:pt idx="9">
                  <c:v>46000</c:v>
                </c:pt>
                <c:pt idx="10">
                  <c:v>49195</c:v>
                </c:pt>
                <c:pt idx="11">
                  <c:v>50149</c:v>
                </c:pt>
                <c:pt idx="12">
                  <c:v>53093</c:v>
                </c:pt>
                <c:pt idx="13">
                  <c:v>54580</c:v>
                </c:pt>
                <c:pt idx="14">
                  <c:v>70000</c:v>
                </c:pt>
                <c:pt idx="15">
                  <c:v>71000</c:v>
                </c:pt>
                <c:pt idx="16">
                  <c:v>72861</c:v>
                </c:pt>
                <c:pt idx="17">
                  <c:v>76000</c:v>
                </c:pt>
                <c:pt idx="18">
                  <c:v>78653</c:v>
                </c:pt>
                <c:pt idx="19">
                  <c:v>78900</c:v>
                </c:pt>
                <c:pt idx="20">
                  <c:v>80000</c:v>
                </c:pt>
                <c:pt idx="21">
                  <c:v>87649</c:v>
                </c:pt>
                <c:pt idx="22">
                  <c:v>90000</c:v>
                </c:pt>
                <c:pt idx="23">
                  <c:v>91000</c:v>
                </c:pt>
                <c:pt idx="24">
                  <c:v>94000</c:v>
                </c:pt>
                <c:pt idx="25">
                  <c:v>96654</c:v>
                </c:pt>
                <c:pt idx="26">
                  <c:v>97000</c:v>
                </c:pt>
                <c:pt idx="27">
                  <c:v>103000</c:v>
                </c:pt>
                <c:pt idx="28">
                  <c:v>106869</c:v>
                </c:pt>
                <c:pt idx="29">
                  <c:v>110000</c:v>
                </c:pt>
                <c:pt idx="30">
                  <c:v>120000</c:v>
                </c:pt>
                <c:pt idx="31">
                  <c:v>120000</c:v>
                </c:pt>
                <c:pt idx="32">
                  <c:v>128000</c:v>
                </c:pt>
                <c:pt idx="33">
                  <c:v>130000</c:v>
                </c:pt>
              </c:numCache>
            </c:numRef>
          </c:xVal>
          <c:yVal>
            <c:numRef>
              <c:f>Sheet2!$F$2:$F$35</c:f>
              <c:numCache>
                <c:formatCode>General</c:formatCode>
                <c:ptCount val="34"/>
                <c:pt idx="0">
                  <c:v>19500</c:v>
                </c:pt>
                <c:pt idx="1">
                  <c:v>15850</c:v>
                </c:pt>
                <c:pt idx="2">
                  <c:v>16995</c:v>
                </c:pt>
                <c:pt idx="3">
                  <c:v>12700</c:v>
                </c:pt>
                <c:pt idx="4">
                  <c:v>15900</c:v>
                </c:pt>
                <c:pt idx="5">
                  <c:v>11994</c:v>
                </c:pt>
                <c:pt idx="6">
                  <c:v>19665</c:v>
                </c:pt>
                <c:pt idx="7">
                  <c:v>14995</c:v>
                </c:pt>
                <c:pt idx="8">
                  <c:v>16995</c:v>
                </c:pt>
                <c:pt idx="9">
                  <c:v>12950</c:v>
                </c:pt>
                <c:pt idx="10">
                  <c:v>16500</c:v>
                </c:pt>
                <c:pt idx="11">
                  <c:v>13995</c:v>
                </c:pt>
                <c:pt idx="12">
                  <c:v>15995</c:v>
                </c:pt>
                <c:pt idx="13">
                  <c:v>12880</c:v>
                </c:pt>
                <c:pt idx="14">
                  <c:v>12000</c:v>
                </c:pt>
                <c:pt idx="15">
                  <c:v>12000</c:v>
                </c:pt>
                <c:pt idx="16">
                  <c:v>12995</c:v>
                </c:pt>
                <c:pt idx="17">
                  <c:v>3200</c:v>
                </c:pt>
                <c:pt idx="18">
                  <c:v>9880</c:v>
                </c:pt>
                <c:pt idx="19">
                  <c:v>8000</c:v>
                </c:pt>
                <c:pt idx="20">
                  <c:v>4600</c:v>
                </c:pt>
                <c:pt idx="21">
                  <c:v>12995</c:v>
                </c:pt>
                <c:pt idx="22">
                  <c:v>12495</c:v>
                </c:pt>
                <c:pt idx="23">
                  <c:v>5850</c:v>
                </c:pt>
                <c:pt idx="24">
                  <c:v>5500</c:v>
                </c:pt>
                <c:pt idx="25">
                  <c:v>6000</c:v>
                </c:pt>
                <c:pt idx="26">
                  <c:v>10500</c:v>
                </c:pt>
                <c:pt idx="27">
                  <c:v>4000</c:v>
                </c:pt>
                <c:pt idx="28">
                  <c:v>12980</c:v>
                </c:pt>
                <c:pt idx="29">
                  <c:v>2000</c:v>
                </c:pt>
                <c:pt idx="30">
                  <c:v>4900</c:v>
                </c:pt>
                <c:pt idx="31">
                  <c:v>10900</c:v>
                </c:pt>
                <c:pt idx="32">
                  <c:v>3250</c:v>
                </c:pt>
                <c:pt idx="33">
                  <c:v>5500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Sheet2!$G$1</c:f>
              <c:strCache>
                <c:ptCount val="1"/>
                <c:pt idx="0">
                  <c:v>Regression Model</c:v>
                </c:pt>
              </c:strCache>
            </c:strRef>
          </c:tx>
          <c:spPr>
            <a:solidFill>
              <a:srgbClr val="FF00FF"/>
            </a:solidFill>
            <a:ln w="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Sheet2!$E$2:$E$35</c:f>
              <c:numCache>
                <c:formatCode>General</c:formatCode>
                <c:ptCount val="34"/>
                <c:pt idx="0">
                  <c:v>11200</c:v>
                </c:pt>
                <c:pt idx="1">
                  <c:v>16000</c:v>
                </c:pt>
                <c:pt idx="2">
                  <c:v>18344</c:v>
                </c:pt>
                <c:pt idx="3">
                  <c:v>21000</c:v>
                </c:pt>
                <c:pt idx="4">
                  <c:v>23000</c:v>
                </c:pt>
                <c:pt idx="5">
                  <c:v>38800</c:v>
                </c:pt>
                <c:pt idx="6">
                  <c:v>40950</c:v>
                </c:pt>
                <c:pt idx="7">
                  <c:v>42143</c:v>
                </c:pt>
                <c:pt idx="8">
                  <c:v>43593</c:v>
                </c:pt>
                <c:pt idx="9">
                  <c:v>46000</c:v>
                </c:pt>
                <c:pt idx="10">
                  <c:v>49195</c:v>
                </c:pt>
                <c:pt idx="11">
                  <c:v>50149</c:v>
                </c:pt>
                <c:pt idx="12">
                  <c:v>53093</c:v>
                </c:pt>
                <c:pt idx="13">
                  <c:v>54580</c:v>
                </c:pt>
                <c:pt idx="14">
                  <c:v>70000</c:v>
                </c:pt>
                <c:pt idx="15">
                  <c:v>71000</c:v>
                </c:pt>
                <c:pt idx="16">
                  <c:v>72861</c:v>
                </c:pt>
                <c:pt idx="17">
                  <c:v>76000</c:v>
                </c:pt>
                <c:pt idx="18">
                  <c:v>78653</c:v>
                </c:pt>
                <c:pt idx="19">
                  <c:v>78900</c:v>
                </c:pt>
                <c:pt idx="20">
                  <c:v>80000</c:v>
                </c:pt>
                <c:pt idx="21">
                  <c:v>87649</c:v>
                </c:pt>
                <c:pt idx="22">
                  <c:v>90000</c:v>
                </c:pt>
                <c:pt idx="23">
                  <c:v>91000</c:v>
                </c:pt>
                <c:pt idx="24">
                  <c:v>94000</c:v>
                </c:pt>
                <c:pt idx="25">
                  <c:v>96654</c:v>
                </c:pt>
                <c:pt idx="26">
                  <c:v>97000</c:v>
                </c:pt>
                <c:pt idx="27">
                  <c:v>103000</c:v>
                </c:pt>
                <c:pt idx="28">
                  <c:v>106869</c:v>
                </c:pt>
                <c:pt idx="29">
                  <c:v>110000</c:v>
                </c:pt>
                <c:pt idx="30">
                  <c:v>120000</c:v>
                </c:pt>
                <c:pt idx="31">
                  <c:v>120000</c:v>
                </c:pt>
                <c:pt idx="32">
                  <c:v>128000</c:v>
                </c:pt>
                <c:pt idx="33">
                  <c:v>130000</c:v>
                </c:pt>
              </c:numCache>
            </c:numRef>
          </c:xVal>
          <c:yVal>
            <c:numRef>
              <c:f>Sheet2!$G$2:$G$35</c:f>
              <c:numCache>
                <c:formatCode>General</c:formatCode>
                <c:ptCount val="34"/>
                <c:pt idx="0">
                  <c:v>18439.8741479791</c:v>
                </c:pt>
                <c:pt idx="1">
                  <c:v>16976.1266579349</c:v>
                </c:pt>
                <c:pt idx="2">
                  <c:v>16921.2350432251</c:v>
                </c:pt>
                <c:pt idx="3">
                  <c:v>16859.0370361135</c:v>
                </c:pt>
                <c:pt idx="4">
                  <c:v>16812.2011873849</c:v>
                </c:pt>
                <c:pt idx="5">
                  <c:v>13703.9594105896</c:v>
                </c:pt>
                <c:pt idx="6">
                  <c:v>15040.5079919505</c:v>
                </c:pt>
                <c:pt idx="7">
                  <c:v>15012.5704081839</c:v>
                </c:pt>
                <c:pt idx="8">
                  <c:v>16329.9558709512</c:v>
                </c:pt>
                <c:pt idx="9">
                  <c:v>14922.2474739108</c:v>
                </c:pt>
                <c:pt idx="10">
                  <c:v>14847.4272055669</c:v>
                </c:pt>
                <c:pt idx="11">
                  <c:v>13473.7450526278</c:v>
                </c:pt>
                <c:pt idx="12">
                  <c:v>16107.4855894904</c:v>
                </c:pt>
                <c:pt idx="13">
                  <c:v>10631.7416579301</c:v>
                </c:pt>
                <c:pt idx="14">
                  <c:v>11657.5343829768</c:v>
                </c:pt>
                <c:pt idx="15">
                  <c:v>8931.4335524215</c:v>
                </c:pt>
                <c:pt idx="16">
                  <c:v>11590.5357013706</c:v>
                </c:pt>
                <c:pt idx="17">
                  <c:v>3373.42245256939</c:v>
                </c:pt>
                <c:pt idx="18">
                  <c:v>10068.0019647086</c:v>
                </c:pt>
                <c:pt idx="19">
                  <c:v>10097.7734030392</c:v>
                </c:pt>
                <c:pt idx="20">
                  <c:v>4631.09220820777</c:v>
                </c:pt>
                <c:pt idx="21">
                  <c:v>11244.2314358715</c:v>
                </c:pt>
                <c:pt idx="22">
                  <c:v>12540.5173487866</c:v>
                </c:pt>
                <c:pt idx="23">
                  <c:v>5760.39215894469</c:v>
                </c:pt>
                <c:pt idx="24">
                  <c:v>7041.47983894736</c:v>
                </c:pt>
                <c:pt idx="25">
                  <c:v>6979.32866768454</c:v>
                </c:pt>
                <c:pt idx="26">
                  <c:v>9673.90897204557</c:v>
                </c:pt>
                <c:pt idx="27">
                  <c:v>5479.37706657324</c:v>
                </c:pt>
                <c:pt idx="28">
                  <c:v>12145.4803826855</c:v>
                </c:pt>
                <c:pt idx="29">
                  <c:v>5279.8959303747</c:v>
                </c:pt>
                <c:pt idx="30">
                  <c:v>6432.6138054759</c:v>
                </c:pt>
                <c:pt idx="31">
                  <c:v>11837.979617858</c:v>
                </c:pt>
                <c:pt idx="32">
                  <c:v>804.348932530934</c:v>
                </c:pt>
                <c:pt idx="33">
                  <c:v>4811.53744308896</c:v>
                </c:pt>
              </c:numCache>
            </c:numRef>
          </c:yVal>
          <c:smooth val="0"/>
        </c:ser>
        <c:axId val="53090094"/>
        <c:axId val="54988550"/>
      </c:scatterChart>
      <c:valAx>
        <c:axId val="530900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Miles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4988550"/>
        <c:crossesAt val="0"/>
        <c:crossBetween val="midCat"/>
      </c:valAx>
      <c:valAx>
        <c:axId val="5498855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3090094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b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734760</xdr:colOff>
      <xdr:row>38</xdr:row>
      <xdr:rowOff>63000</xdr:rowOff>
    </xdr:from>
    <xdr:to>
      <xdr:col>5</xdr:col>
      <xdr:colOff>884160</xdr:colOff>
      <xdr:row>51</xdr:row>
      <xdr:rowOff>12960</xdr:rowOff>
    </xdr:to>
    <xdr:graphicFrame>
      <xdr:nvGraphicFramePr>
        <xdr:cNvPr id="1" name="Chart 3"/>
        <xdr:cNvGraphicFramePr/>
      </xdr:nvGraphicFramePr>
      <xdr:xfrm>
        <a:off x="734760" y="6362280"/>
        <a:ext cx="4816800" cy="209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161640</xdr:colOff>
      <xdr:row>38</xdr:row>
      <xdr:rowOff>88920</xdr:rowOff>
    </xdr:from>
    <xdr:to>
      <xdr:col>13</xdr:col>
      <xdr:colOff>698400</xdr:colOff>
      <xdr:row>56</xdr:row>
      <xdr:rowOff>164880</xdr:rowOff>
    </xdr:to>
    <xdr:graphicFrame>
      <xdr:nvGraphicFramePr>
        <xdr:cNvPr id="2" name="Chart 4"/>
        <xdr:cNvGraphicFramePr/>
      </xdr:nvGraphicFramePr>
      <xdr:xfrm>
        <a:off x="6695640" y="6388200"/>
        <a:ext cx="613764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99360</xdr:colOff>
      <xdr:row>53</xdr:row>
      <xdr:rowOff>101880</xdr:rowOff>
    </xdr:from>
    <xdr:to>
      <xdr:col>7</xdr:col>
      <xdr:colOff>51120</xdr:colOff>
      <xdr:row>70</xdr:row>
      <xdr:rowOff>152280</xdr:rowOff>
    </xdr:to>
    <xdr:graphicFrame>
      <xdr:nvGraphicFramePr>
        <xdr:cNvPr id="3" name="Chart 6"/>
        <xdr:cNvGraphicFramePr/>
      </xdr:nvGraphicFramePr>
      <xdr:xfrm>
        <a:off x="99360" y="8877600"/>
        <a:ext cx="648576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411120</xdr:colOff>
      <xdr:row>1</xdr:row>
      <xdr:rowOff>63000</xdr:rowOff>
    </xdr:from>
    <xdr:to>
      <xdr:col>26</xdr:col>
      <xdr:colOff>859680</xdr:colOff>
      <xdr:row>23</xdr:row>
      <xdr:rowOff>127080</xdr:rowOff>
    </xdr:to>
    <xdr:graphicFrame>
      <xdr:nvGraphicFramePr>
        <xdr:cNvPr id="4" name="Chart 1"/>
        <xdr:cNvGraphicFramePr/>
      </xdr:nvGraphicFramePr>
      <xdr:xfrm>
        <a:off x="19080000" y="228240"/>
        <a:ext cx="6049440" cy="3696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871560</xdr:colOff>
      <xdr:row>0</xdr:row>
      <xdr:rowOff>0</xdr:rowOff>
    </xdr:from>
    <xdr:to>
      <xdr:col>14</xdr:col>
      <xdr:colOff>386280</xdr:colOff>
      <xdr:row>22</xdr:row>
      <xdr:rowOff>63360</xdr:rowOff>
    </xdr:to>
    <xdr:graphicFrame>
      <xdr:nvGraphicFramePr>
        <xdr:cNvPr id="5" name="Chart 2"/>
        <xdr:cNvGraphicFramePr/>
      </xdr:nvGraphicFramePr>
      <xdr:xfrm>
        <a:off x="7405560" y="0"/>
        <a:ext cx="6049080" cy="369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273600</xdr:colOff>
      <xdr:row>23</xdr:row>
      <xdr:rowOff>140040</xdr:rowOff>
    </xdr:from>
    <xdr:to>
      <xdr:col>13</xdr:col>
      <xdr:colOff>722880</xdr:colOff>
      <xdr:row>46</xdr:row>
      <xdr:rowOff>38160</xdr:rowOff>
    </xdr:to>
    <xdr:graphicFrame>
      <xdr:nvGraphicFramePr>
        <xdr:cNvPr id="6" name="Chart 3"/>
        <xdr:cNvGraphicFramePr/>
      </xdr:nvGraphicFramePr>
      <xdr:xfrm>
        <a:off x="6807600" y="3937320"/>
        <a:ext cx="6050160" cy="369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</row>
    <row r="2" customFormat="false" ht="14" hidden="false" customHeight="false" outlineLevel="0" collapsed="false"/>
    <row r="3" customFormat="false" ht="13" hidden="false" customHeight="false" outlineLevel="0" collapsed="false">
      <c r="A3" s="2" t="s">
        <v>1</v>
      </c>
      <c r="B3" s="2"/>
    </row>
    <row r="4" customFormat="false" ht="13" hidden="false" customHeight="false" outlineLevel="0" collapsed="false">
      <c r="A4" s="3" t="s">
        <v>2</v>
      </c>
      <c r="B4" s="3" t="n">
        <v>0.935137647856509</v>
      </c>
    </row>
    <row r="5" customFormat="false" ht="13" hidden="false" customHeight="false" outlineLevel="0" collapsed="false">
      <c r="A5" s="3" t="s">
        <v>3</v>
      </c>
      <c r="B5" s="3" t="n">
        <v>0.874482420438604</v>
      </c>
    </row>
    <row r="6" customFormat="false" ht="13" hidden="false" customHeight="false" outlineLevel="0" collapsed="false">
      <c r="A6" s="3" t="s">
        <v>4</v>
      </c>
      <c r="B6" s="3" t="n">
        <v>0.861930662482465</v>
      </c>
    </row>
    <row r="7" customFormat="false" ht="13" hidden="false" customHeight="false" outlineLevel="0" collapsed="false">
      <c r="A7" s="3" t="s">
        <v>5</v>
      </c>
      <c r="B7" s="3" t="n">
        <v>1858.60104130311</v>
      </c>
    </row>
    <row r="8" customFormat="false" ht="14" hidden="false" customHeight="false" outlineLevel="0" collapsed="false">
      <c r="A8" s="4" t="s">
        <v>6</v>
      </c>
      <c r="B8" s="4" t="n">
        <v>34</v>
      </c>
    </row>
    <row r="10" customFormat="false" ht="14" hidden="false" customHeight="false" outlineLevel="0" collapsed="false">
      <c r="A10" s="1" t="s">
        <v>7</v>
      </c>
    </row>
    <row r="11" customFormat="false" ht="13" hidden="false" customHeight="fals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3" hidden="false" customHeight="false" outlineLevel="0" collapsed="false">
      <c r="A12" s="3" t="s">
        <v>13</v>
      </c>
      <c r="B12" s="3" t="n">
        <v>3</v>
      </c>
      <c r="C12" s="3" t="n">
        <v>722004882.519186</v>
      </c>
      <c r="D12" s="3" t="n">
        <v>240668294.173062</v>
      </c>
      <c r="E12" s="3" t="n">
        <v>69.6701150145155</v>
      </c>
      <c r="F12" s="3" t="n">
        <v>1.27204391447432E-013</v>
      </c>
    </row>
    <row r="13" customFormat="false" ht="13" hidden="false" customHeight="false" outlineLevel="0" collapsed="false">
      <c r="A13" s="3" t="s">
        <v>14</v>
      </c>
      <c r="B13" s="3" t="n">
        <v>30</v>
      </c>
      <c r="C13" s="3" t="n">
        <v>103631934.921991</v>
      </c>
      <c r="D13" s="3" t="n">
        <v>3454397.83073302</v>
      </c>
      <c r="E13" s="3"/>
      <c r="F13" s="3"/>
    </row>
    <row r="14" customFormat="false" ht="14" hidden="false" customHeight="false" outlineLevel="0" collapsed="false">
      <c r="A14" s="4" t="s">
        <v>15</v>
      </c>
      <c r="B14" s="4" t="n">
        <v>33</v>
      </c>
      <c r="C14" s="4" t="n">
        <v>825636817.441176</v>
      </c>
      <c r="D14" s="4"/>
      <c r="E14" s="4"/>
      <c r="F14" s="4"/>
    </row>
    <row r="15" customFormat="false" ht="14" hidden="false" customHeight="false" outlineLevel="0" collapsed="false"/>
    <row r="16" customFormat="false" ht="13" hidden="false" customHeight="fals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3" hidden="false" customHeight="false" outlineLevel="0" collapsed="false">
      <c r="A17" s="3" t="s">
        <v>23</v>
      </c>
      <c r="B17" s="3" t="n">
        <v>20053.4963539546</v>
      </c>
      <c r="C17" s="3" t="n">
        <v>758.275740690613</v>
      </c>
      <c r="D17" s="3" t="n">
        <v>26.4461795067986</v>
      </c>
      <c r="E17" s="3" t="n">
        <v>2.4023123416792E-022</v>
      </c>
      <c r="F17" s="3" t="n">
        <v>18504.8922894711</v>
      </c>
      <c r="G17" s="3" t="n">
        <v>21602.1004184381</v>
      </c>
      <c r="H17" s="3" t="n">
        <v>18504.8922894711</v>
      </c>
      <c r="I17" s="3" t="n">
        <v>21602.1004184381</v>
      </c>
    </row>
    <row r="18" customFormat="false" ht="13" hidden="false" customHeight="false" outlineLevel="0" collapsed="false">
      <c r="A18" s="3" t="s">
        <v>24</v>
      </c>
      <c r="B18" s="3" t="n">
        <v>-2738.23857183961</v>
      </c>
      <c r="C18" s="3" t="n">
        <v>791.029384197347</v>
      </c>
      <c r="D18" s="3" t="n">
        <v>-3.46161422893042</v>
      </c>
      <c r="E18" s="3" t="n">
        <v>0.00163497039555047</v>
      </c>
      <c r="F18" s="3" t="n">
        <v>-4353.7344314041</v>
      </c>
      <c r="G18" s="3" t="n">
        <v>-1122.74271227511</v>
      </c>
      <c r="H18" s="3" t="n">
        <v>-4353.7344314041</v>
      </c>
      <c r="I18" s="3" t="n">
        <v>-1122.74271227511</v>
      </c>
    </row>
    <row r="19" customFormat="false" ht="13" hidden="false" customHeight="false" outlineLevel="0" collapsed="false">
      <c r="A19" s="3" t="s">
        <v>25</v>
      </c>
      <c r="B19" s="3" t="n">
        <v>-1351.34145309553</v>
      </c>
      <c r="C19" s="3" t="n">
        <v>201.914596146913</v>
      </c>
      <c r="D19" s="3" t="n">
        <v>-6.692638763531</v>
      </c>
      <c r="E19" s="3" t="n">
        <v>2.04855950233207E-007</v>
      </c>
      <c r="F19" s="3" t="n">
        <v>-1763.70564661024</v>
      </c>
      <c r="G19" s="3" t="n">
        <v>-938.977259580827</v>
      </c>
      <c r="H19" s="3" t="n">
        <v>-1763.70564661024</v>
      </c>
      <c r="I19" s="3" t="n">
        <v>-938.977259580827</v>
      </c>
    </row>
    <row r="20" customFormat="false" ht="14" hidden="false" customHeight="false" outlineLevel="0" collapsed="false">
      <c r="A20" s="4" t="s">
        <v>26</v>
      </c>
      <c r="B20" s="4" t="n">
        <v>-0.023417924364287</v>
      </c>
      <c r="C20" s="4" t="n">
        <v>0.01522373849476</v>
      </c>
      <c r="D20" s="4" t="n">
        <v>-1.53825056653117</v>
      </c>
      <c r="E20" s="4" t="n">
        <v>0.134469247539876</v>
      </c>
      <c r="F20" s="4" t="n">
        <v>-0.054508914151389</v>
      </c>
      <c r="G20" s="4" t="n">
        <v>0.00767306542281513</v>
      </c>
      <c r="H20" s="4" t="n">
        <v>-0.054508914151389</v>
      </c>
      <c r="I20" s="4" t="n">
        <v>0.00767306542281513</v>
      </c>
    </row>
  </sheetData>
  <mergeCells count="1">
    <mergeCell ref="A3:B3"/>
  </mergeCells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23"/>
    </sheetView>
  </sheetViews>
  <sheetFormatPr defaultColWidth="11.054687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</row>
    <row r="2" customFormat="false" ht="14" hidden="false" customHeight="false" outlineLevel="0" collapsed="false"/>
    <row r="3" customFormat="false" ht="13" hidden="false" customHeight="false" outlineLevel="0" collapsed="false">
      <c r="A3" s="2" t="s">
        <v>1</v>
      </c>
      <c r="B3" s="2"/>
    </row>
    <row r="4" customFormat="false" ht="13" hidden="false" customHeight="false" outlineLevel="0" collapsed="false">
      <c r="A4" s="3" t="s">
        <v>2</v>
      </c>
      <c r="B4" s="3" t="n">
        <v>0.887424791609304</v>
      </c>
    </row>
    <row r="5" customFormat="false" ht="13" hidden="false" customHeight="false" outlineLevel="0" collapsed="false">
      <c r="A5" s="3" t="s">
        <v>3</v>
      </c>
      <c r="B5" s="3" t="n">
        <v>0.787522760762817</v>
      </c>
    </row>
    <row r="6" customFormat="false" ht="13" hidden="false" customHeight="false" outlineLevel="0" collapsed="false">
      <c r="A6" s="3" t="s">
        <v>4</v>
      </c>
      <c r="B6" s="3" t="n">
        <v>0.766275036839099</v>
      </c>
    </row>
    <row r="7" customFormat="false" ht="13" hidden="false" customHeight="false" outlineLevel="0" collapsed="false">
      <c r="A7" s="3" t="s">
        <v>5</v>
      </c>
      <c r="B7" s="3" t="n">
        <v>0.286120509770362</v>
      </c>
    </row>
    <row r="8" customFormat="false" ht="14" hidden="false" customHeight="false" outlineLevel="0" collapsed="false">
      <c r="A8" s="4" t="s">
        <v>6</v>
      </c>
      <c r="B8" s="4" t="n">
        <v>34</v>
      </c>
    </row>
    <row r="10" customFormat="false" ht="14" hidden="false" customHeight="false" outlineLevel="0" collapsed="false">
      <c r="A10" s="1" t="s">
        <v>7</v>
      </c>
    </row>
    <row r="11" customFormat="false" ht="13" hidden="false" customHeight="fals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3" hidden="false" customHeight="false" outlineLevel="0" collapsed="false">
      <c r="A12" s="3" t="s">
        <v>13</v>
      </c>
      <c r="B12" s="3" t="n">
        <v>3</v>
      </c>
      <c r="C12" s="3" t="n">
        <v>9.1026938136087</v>
      </c>
      <c r="D12" s="3" t="n">
        <v>3.0342312712029</v>
      </c>
      <c r="E12" s="3" t="n">
        <v>37.063864515094</v>
      </c>
      <c r="F12" s="3" t="n">
        <v>3.25505719599822E-010</v>
      </c>
    </row>
    <row r="13" customFormat="false" ht="13" hidden="false" customHeight="false" outlineLevel="0" collapsed="false">
      <c r="A13" s="3" t="s">
        <v>14</v>
      </c>
      <c r="B13" s="3" t="n">
        <v>30</v>
      </c>
      <c r="C13" s="3" t="n">
        <v>2.45594838333755</v>
      </c>
      <c r="D13" s="3" t="n">
        <v>0.0818649461112516</v>
      </c>
      <c r="E13" s="3"/>
      <c r="F13" s="3"/>
    </row>
    <row r="14" customFormat="false" ht="14" hidden="false" customHeight="false" outlineLevel="0" collapsed="false">
      <c r="A14" s="4" t="s">
        <v>15</v>
      </c>
      <c r="B14" s="4" t="n">
        <v>33</v>
      </c>
      <c r="C14" s="4" t="n">
        <v>11.5586421969462</v>
      </c>
      <c r="D14" s="4"/>
      <c r="E14" s="4"/>
      <c r="F14" s="4"/>
    </row>
    <row r="15" customFormat="false" ht="14" hidden="false" customHeight="false" outlineLevel="0" collapsed="false"/>
    <row r="16" customFormat="false" ht="13" hidden="false" customHeight="fals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3" hidden="false" customHeight="false" outlineLevel="0" collapsed="false">
      <c r="A17" s="3" t="s">
        <v>23</v>
      </c>
      <c r="B17" s="3" t="n">
        <v>9.36339188798181</v>
      </c>
      <c r="C17" s="3" t="n">
        <v>1.32602976138863</v>
      </c>
      <c r="D17" s="3" t="n">
        <v>7.06122302879265</v>
      </c>
      <c r="E17" s="3" t="n">
        <v>7.51659438312508E-008</v>
      </c>
      <c r="F17" s="3" t="n">
        <v>6.6552806193261</v>
      </c>
      <c r="G17" s="3" t="n">
        <v>12.0715031566375</v>
      </c>
      <c r="H17" s="3" t="n">
        <v>6.6552806193261</v>
      </c>
      <c r="I17" s="3" t="n">
        <v>12.0715031566375</v>
      </c>
    </row>
    <row r="18" customFormat="false" ht="13" hidden="false" customHeight="false" outlineLevel="0" collapsed="false">
      <c r="A18" s="3" t="s">
        <v>27</v>
      </c>
      <c r="B18" s="3" t="n">
        <v>-0.65049764571397</v>
      </c>
      <c r="C18" s="3" t="n">
        <v>0.174484925560687</v>
      </c>
      <c r="D18" s="3" t="n">
        <v>-3.72810226226518</v>
      </c>
      <c r="E18" s="3" t="n">
        <v>0.000801419236500223</v>
      </c>
      <c r="F18" s="3" t="n">
        <v>-1.0068430362025</v>
      </c>
      <c r="G18" s="3" t="n">
        <v>-0.294152255225435</v>
      </c>
      <c r="H18" s="3" t="n">
        <v>-1.0068430362025</v>
      </c>
      <c r="I18" s="3" t="n">
        <v>-0.294152255225435</v>
      </c>
    </row>
    <row r="19" customFormat="false" ht="13" hidden="false" customHeight="false" outlineLevel="0" collapsed="false">
      <c r="A19" s="3" t="s">
        <v>28</v>
      </c>
      <c r="B19" s="3" t="n">
        <v>-1.11818103319735</v>
      </c>
      <c r="C19" s="3" t="n">
        <v>0.199944111783136</v>
      </c>
      <c r="D19" s="3" t="n">
        <v>-5.59246793128948</v>
      </c>
      <c r="E19" s="3" t="n">
        <v>4.37607455659715E-006</v>
      </c>
      <c r="F19" s="3" t="n">
        <v>-1.5265209649152</v>
      </c>
      <c r="G19" s="3" t="n">
        <v>-0.709841101479501</v>
      </c>
      <c r="H19" s="3" t="n">
        <v>-1.5265209649152</v>
      </c>
      <c r="I19" s="3" t="n">
        <v>-0.709841101479501</v>
      </c>
    </row>
    <row r="20" customFormat="false" ht="14" hidden="false" customHeight="false" outlineLevel="0" collapsed="false">
      <c r="A20" s="4" t="s">
        <v>29</v>
      </c>
      <c r="B20" s="4" t="n">
        <v>0.163143970268167</v>
      </c>
      <c r="C20" s="4" t="n">
        <v>0.144568675520762</v>
      </c>
      <c r="D20" s="4" t="n">
        <v>1.12848768711821</v>
      </c>
      <c r="E20" s="4" t="n">
        <v>0.268057991195344</v>
      </c>
      <c r="F20" s="4" t="n">
        <v>-0.132104349695945</v>
      </c>
      <c r="G20" s="4" t="n">
        <v>0.45839229023228</v>
      </c>
      <c r="H20" s="4" t="n">
        <v>-0.132104349695945</v>
      </c>
      <c r="I20" s="4" t="n">
        <v>0.45839229023228</v>
      </c>
    </row>
  </sheetData>
  <mergeCells count="1">
    <mergeCell ref="A3:B3"/>
  </mergeCells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K36"/>
    </sheetView>
  </sheetViews>
  <sheetFormatPr defaultColWidth="11.0546875" defaultRowHeight="13" customHeight="false" zeroHeight="false" outlineLevelRow="0" outlineLevelCol="0"/>
  <sheetData>
    <row r="1" customFormat="false" ht="14" hidden="false" customHeight="false" outlineLevel="0" collapsed="false">
      <c r="A1" s="1" t="s">
        <v>30</v>
      </c>
      <c r="E1" s="1" t="s">
        <v>31</v>
      </c>
    </row>
    <row r="2" customFormat="false" ht="13" hidden="false" customHeight="false" outlineLevel="0" collapsed="false">
      <c r="A2" s="1" t="s">
        <v>32</v>
      </c>
      <c r="B2" s="1" t="s">
        <v>33</v>
      </c>
      <c r="C2" s="1" t="s">
        <v>34</v>
      </c>
      <c r="D2" s="1" t="s">
        <v>33</v>
      </c>
      <c r="E2" s="1" t="s">
        <v>35</v>
      </c>
      <c r="F2" s="1" t="s">
        <v>33</v>
      </c>
      <c r="M2" s="2"/>
      <c r="N2" s="2" t="s">
        <v>16</v>
      </c>
    </row>
    <row r="3" customFormat="false" ht="13" hidden="false" customHeight="false" outlineLevel="0" collapsed="false">
      <c r="A3" s="1" t="n">
        <v>0</v>
      </c>
      <c r="B3" s="1" t="n">
        <v>1</v>
      </c>
      <c r="C3" s="1" t="n">
        <v>11200</v>
      </c>
      <c r="D3" s="1" t="n">
        <v>1</v>
      </c>
      <c r="E3" s="1" t="n">
        <v>19500</v>
      </c>
      <c r="F3" s="1" t="n">
        <v>1</v>
      </c>
      <c r="G3" s="1" t="n">
        <f aca="false">LN(A3+1)</f>
        <v>0</v>
      </c>
      <c r="H3" s="1" t="n">
        <f aca="false">LN(B3+1)</f>
        <v>0.693147180559945</v>
      </c>
      <c r="I3" s="1" t="n">
        <f aca="false">LN(C3+1)</f>
        <v>9.32375833901174</v>
      </c>
      <c r="J3" s="1" t="n">
        <f aca="false">LN(E3+1)</f>
        <v>9.87822102528824</v>
      </c>
      <c r="K3" s="1" t="n">
        <f aca="false">$N$3+$N$4*A3+$N$5*B3+$N$6*C3</f>
        <v>18439.8741479791</v>
      </c>
      <c r="M3" s="3" t="s">
        <v>23</v>
      </c>
      <c r="N3" s="3" t="n">
        <v>20053.4963539546</v>
      </c>
    </row>
    <row r="4" customFormat="false" ht="13" hidden="false" customHeight="false" outlineLevel="0" collapsed="false">
      <c r="A4" s="1" t="n">
        <v>1</v>
      </c>
      <c r="B4" s="1" t="n">
        <v>2</v>
      </c>
      <c r="C4" s="1" t="n">
        <v>38800</v>
      </c>
      <c r="D4" s="1" t="n">
        <v>2</v>
      </c>
      <c r="E4" s="1" t="n">
        <v>11994</v>
      </c>
      <c r="F4" s="1" t="n">
        <v>2</v>
      </c>
      <c r="G4" s="1" t="n">
        <f aca="false">LN(A4+1)</f>
        <v>0.693147180559945</v>
      </c>
      <c r="H4" s="1" t="n">
        <f aca="false">LN(B4+1)</f>
        <v>1.09861228866811</v>
      </c>
      <c r="I4" s="1" t="n">
        <f aca="false">LN(C4+1)</f>
        <v>10.5662012984751</v>
      </c>
      <c r="J4" s="1" t="n">
        <f aca="false">LN(E4+1)</f>
        <v>9.3922451752738</v>
      </c>
      <c r="K4" s="1" t="n">
        <f aca="false">$N$3+$N$4*A4+$N$5*B4+$N$6*C4</f>
        <v>13703.9594105896</v>
      </c>
      <c r="M4" s="3" t="s">
        <v>24</v>
      </c>
      <c r="N4" s="3" t="n">
        <v>-2738.23857183961</v>
      </c>
    </row>
    <row r="5" customFormat="false" ht="13" hidden="false" customHeight="false" outlineLevel="0" collapsed="false">
      <c r="A5" s="1" t="n">
        <v>0</v>
      </c>
      <c r="B5" s="1" t="n">
        <v>2</v>
      </c>
      <c r="C5" s="1" t="n">
        <v>43593</v>
      </c>
      <c r="D5" s="1" t="n">
        <v>2</v>
      </c>
      <c r="E5" s="1" t="n">
        <v>16995</v>
      </c>
      <c r="F5" s="1" t="n">
        <v>2</v>
      </c>
      <c r="G5" s="1" t="n">
        <f aca="false">LN(A5+1)</f>
        <v>0</v>
      </c>
      <c r="H5" s="1" t="n">
        <f aca="false">LN(B5+1)</f>
        <v>1.09861228866811</v>
      </c>
      <c r="I5" s="1" t="n">
        <f aca="false">LN(C5+1)</f>
        <v>10.6826748051885</v>
      </c>
      <c r="J5" s="1" t="n">
        <f aca="false">LN(E5+1)</f>
        <v>9.7407333012347</v>
      </c>
      <c r="K5" s="1" t="n">
        <f aca="false">$N$3+$N$4*A5+$N$5*B5+$N$6*C5</f>
        <v>16329.9558709512</v>
      </c>
      <c r="M5" s="3" t="s">
        <v>25</v>
      </c>
      <c r="N5" s="3" t="n">
        <v>-1351.34145309553</v>
      </c>
    </row>
    <row r="6" customFormat="false" ht="14" hidden="false" customHeight="false" outlineLevel="0" collapsed="false">
      <c r="A6" s="1" t="n">
        <v>0</v>
      </c>
      <c r="B6" s="1" t="n">
        <v>2</v>
      </c>
      <c r="C6" s="1" t="n">
        <v>18344</v>
      </c>
      <c r="D6" s="1" t="n">
        <v>2</v>
      </c>
      <c r="E6" s="1" t="n">
        <v>16995</v>
      </c>
      <c r="F6" s="1" t="n">
        <v>2</v>
      </c>
      <c r="G6" s="1" t="n">
        <f aca="false">LN(A6+1)</f>
        <v>0</v>
      </c>
      <c r="H6" s="1" t="n">
        <f aca="false">LN(B6+1)</f>
        <v>1.09861228866811</v>
      </c>
      <c r="I6" s="1" t="n">
        <f aca="false">LN(C6+1)</f>
        <v>9.81711233678938</v>
      </c>
      <c r="J6" s="1" t="n">
        <f aca="false">LN(E6+1)</f>
        <v>9.7407333012347</v>
      </c>
      <c r="K6" s="1" t="n">
        <f aca="false">$N$3+$N$4*A6+$N$5*B6+$N$6*C6</f>
        <v>16921.2350432251</v>
      </c>
      <c r="M6" s="4" t="s">
        <v>26</v>
      </c>
      <c r="N6" s="4" t="n">
        <v>-0.023417924364287</v>
      </c>
    </row>
    <row r="7" customFormat="false" ht="13" hidden="false" customHeight="false" outlineLevel="0" collapsed="false">
      <c r="A7" s="1" t="n">
        <v>0</v>
      </c>
      <c r="B7" s="1" t="n">
        <v>2</v>
      </c>
      <c r="C7" s="1" t="n">
        <v>23000</v>
      </c>
      <c r="D7" s="1" t="n">
        <v>2</v>
      </c>
      <c r="E7" s="1" t="n">
        <v>15900</v>
      </c>
      <c r="F7" s="1" t="n">
        <v>2</v>
      </c>
      <c r="G7" s="1" t="n">
        <f aca="false">LN(A7+1)</f>
        <v>0</v>
      </c>
      <c r="H7" s="1" t="n">
        <f aca="false">LN(B7+1)</f>
        <v>1.09861228866811</v>
      </c>
      <c r="I7" s="1" t="n">
        <f aca="false">LN(C7+1)</f>
        <v>10.043292972227</v>
      </c>
      <c r="J7" s="1" t="n">
        <f aca="false">LN(E7+1)</f>
        <v>9.6741372793124</v>
      </c>
      <c r="K7" s="1" t="n">
        <f aca="false">$N$3+$N$4*A7+$N$5*B7+$N$6*C7</f>
        <v>16812.2011873849</v>
      </c>
    </row>
    <row r="8" customFormat="false" ht="13" hidden="false" customHeight="false" outlineLevel="0" collapsed="false">
      <c r="A8" s="1" t="n">
        <v>0</v>
      </c>
      <c r="B8" s="1" t="n">
        <v>2</v>
      </c>
      <c r="C8" s="1" t="n">
        <v>16000</v>
      </c>
      <c r="D8" s="1" t="n">
        <v>2</v>
      </c>
      <c r="E8" s="1" t="n">
        <v>15850</v>
      </c>
      <c r="F8" s="1" t="n">
        <v>2</v>
      </c>
      <c r="G8" s="1" t="n">
        <f aca="false">LN(A8+1)</f>
        <v>0</v>
      </c>
      <c r="H8" s="1" t="n">
        <f aca="false">LN(B8+1)</f>
        <v>1.09861228866811</v>
      </c>
      <c r="I8" s="1" t="n">
        <f aca="false">LN(C8+1)</f>
        <v>9.68040649926888</v>
      </c>
      <c r="J8" s="1" t="n">
        <f aca="false">LN(E8+1)</f>
        <v>9.67098786879789</v>
      </c>
      <c r="K8" s="1" t="n">
        <f aca="false">$N$3+$N$4*A8+$N$5*B8+$N$6*C8</f>
        <v>16976.1266579349</v>
      </c>
    </row>
    <row r="9" customFormat="false" ht="13" hidden="false" customHeight="false" outlineLevel="0" collapsed="false">
      <c r="A9" s="1" t="n">
        <v>0</v>
      </c>
      <c r="B9" s="1" t="n">
        <v>2</v>
      </c>
      <c r="C9" s="1" t="n">
        <v>53093</v>
      </c>
      <c r="D9" s="1" t="n">
        <v>2</v>
      </c>
      <c r="E9" s="1" t="n">
        <v>15995</v>
      </c>
      <c r="F9" s="1" t="n">
        <v>2</v>
      </c>
      <c r="G9" s="1" t="n">
        <f aca="false">LN(A9+1)</f>
        <v>0</v>
      </c>
      <c r="H9" s="1" t="n">
        <f aca="false">LN(B9+1)</f>
        <v>1.09861228866811</v>
      </c>
      <c r="I9" s="1" t="n">
        <f aca="false">LN(C9+1)</f>
        <v>10.8798192064954</v>
      </c>
      <c r="J9" s="1" t="n">
        <f aca="false">LN(E9+1)</f>
        <v>9.68009396996671</v>
      </c>
      <c r="K9" s="1" t="n">
        <f aca="false">$N$3+$N$4*A9+$N$5*B9+$N$6*C9</f>
        <v>16107.4855894904</v>
      </c>
    </row>
    <row r="10" customFormat="false" ht="13" hidden="false" customHeight="false" outlineLevel="0" collapsed="false">
      <c r="A10" s="1" t="n">
        <v>0</v>
      </c>
      <c r="B10" s="1" t="n">
        <v>2</v>
      </c>
      <c r="C10" s="1" t="n">
        <v>21000</v>
      </c>
      <c r="D10" s="1" t="n">
        <v>2</v>
      </c>
      <c r="E10" s="1" t="n">
        <v>12700</v>
      </c>
      <c r="F10" s="1" t="n">
        <v>2</v>
      </c>
      <c r="G10" s="1" t="n">
        <f aca="false">LN(A10+1)</f>
        <v>0</v>
      </c>
      <c r="H10" s="1" t="n">
        <f aca="false">LN(B10+1)</f>
        <v>1.09861228866811</v>
      </c>
      <c r="I10" s="1" t="n">
        <f aca="false">LN(C10+1)</f>
        <v>9.95232533461943</v>
      </c>
      <c r="J10" s="1" t="n">
        <f aca="false">LN(E10+1)</f>
        <v>9.44943600950432</v>
      </c>
      <c r="K10" s="1" t="n">
        <f aca="false">$N$3+$N$4*A10+$N$5*B10+$N$6*C10</f>
        <v>16859.0370361135</v>
      </c>
    </row>
    <row r="11" customFormat="false" ht="13" hidden="false" customHeight="false" outlineLevel="0" collapsed="false">
      <c r="A11" s="1" t="n">
        <v>0</v>
      </c>
      <c r="B11" s="1" t="n">
        <v>3</v>
      </c>
      <c r="C11" s="1" t="n">
        <v>42143</v>
      </c>
      <c r="D11" s="1" t="n">
        <v>3</v>
      </c>
      <c r="E11" s="1" t="n">
        <v>14995</v>
      </c>
      <c r="F11" s="1" t="n">
        <v>3</v>
      </c>
      <c r="G11" s="1" t="n">
        <f aca="false">LN(A11+1)</f>
        <v>0</v>
      </c>
      <c r="H11" s="1" t="n">
        <f aca="false">LN(B11+1)</f>
        <v>1.38629436111989</v>
      </c>
      <c r="I11" s="1" t="n">
        <f aca="false">LN(C11+1)</f>
        <v>10.648847604543</v>
      </c>
      <c r="J11" s="1" t="n">
        <f aca="false">LN(E11+1)</f>
        <v>9.6155387778558</v>
      </c>
      <c r="K11" s="1" t="n">
        <f aca="false">$N$3+$N$4*A11+$N$5*B11+$N$6*C11</f>
        <v>15012.5704081839</v>
      </c>
    </row>
    <row r="12" customFormat="false" ht="13" hidden="false" customHeight="false" outlineLevel="0" collapsed="false">
      <c r="A12" s="1" t="n">
        <v>0</v>
      </c>
      <c r="B12" s="1" t="n">
        <v>3</v>
      </c>
      <c r="C12" s="1" t="n">
        <v>49195</v>
      </c>
      <c r="D12" s="1" t="n">
        <v>3</v>
      </c>
      <c r="E12" s="1" t="n">
        <v>16500</v>
      </c>
      <c r="F12" s="1" t="n">
        <v>3</v>
      </c>
      <c r="G12" s="1" t="n">
        <f aca="false">LN(A12+1)</f>
        <v>0</v>
      </c>
      <c r="H12" s="1" t="n">
        <f aca="false">LN(B12+1)</f>
        <v>1.38629436111989</v>
      </c>
      <c r="I12" s="1" t="n">
        <f aca="false">LN(C12+1)</f>
        <v>10.8035675983623</v>
      </c>
      <c r="J12" s="1" t="n">
        <f aca="false">LN(E12+1)</f>
        <v>9.71117626411281</v>
      </c>
      <c r="K12" s="1" t="n">
        <f aca="false">$N$3+$N$4*A12+$N$5*B12+$N$6*C12</f>
        <v>14847.4272055669</v>
      </c>
    </row>
    <row r="13" customFormat="false" ht="13" hidden="false" customHeight="false" outlineLevel="0" collapsed="false">
      <c r="A13" s="1" t="n">
        <v>0</v>
      </c>
      <c r="B13" s="1" t="n">
        <v>3</v>
      </c>
      <c r="C13" s="1" t="n">
        <v>40950</v>
      </c>
      <c r="D13" s="1" t="n">
        <v>3</v>
      </c>
      <c r="E13" s="1" t="n">
        <v>19665</v>
      </c>
      <c r="F13" s="1" t="n">
        <v>3</v>
      </c>
      <c r="G13" s="1" t="n">
        <f aca="false">LN(A13+1)</f>
        <v>0</v>
      </c>
      <c r="H13" s="1" t="n">
        <f aca="false">LN(B13+1)</f>
        <v>1.38629436111989</v>
      </c>
      <c r="I13" s="1" t="n">
        <f aca="false">LN(C13+1)</f>
        <v>10.6201315090075</v>
      </c>
      <c r="J13" s="1" t="n">
        <f aca="false">LN(E13+1)</f>
        <v>9.8866465353401</v>
      </c>
      <c r="K13" s="1" t="n">
        <f aca="false">$N$3+$N$4*A13+$N$5*B13+$N$6*C13</f>
        <v>15040.5079919505</v>
      </c>
    </row>
    <row r="14" customFormat="false" ht="13" hidden="false" customHeight="false" outlineLevel="0" collapsed="false">
      <c r="A14" s="1" t="n">
        <v>0</v>
      </c>
      <c r="B14" s="1" t="n">
        <v>3</v>
      </c>
      <c r="C14" s="1" t="n">
        <v>46000</v>
      </c>
      <c r="D14" s="1" t="n">
        <v>3</v>
      </c>
      <c r="E14" s="1" t="n">
        <v>12950</v>
      </c>
      <c r="F14" s="1" t="n">
        <v>3</v>
      </c>
      <c r="G14" s="1" t="n">
        <f aca="false">LN(A14+1)</f>
        <v>0</v>
      </c>
      <c r="H14" s="1" t="n">
        <f aca="false">LN(B14+1)</f>
        <v>1.38629436111989</v>
      </c>
      <c r="I14" s="1" t="n">
        <f aca="false">LN(C14+1)</f>
        <v>10.7364184143654</v>
      </c>
      <c r="J14" s="1" t="n">
        <f aca="false">LN(E14+1)</f>
        <v>9.46892828422359</v>
      </c>
      <c r="K14" s="1" t="n">
        <f aca="false">$N$3+$N$4*A14+$N$5*B14+$N$6*C14</f>
        <v>14922.2474739108</v>
      </c>
    </row>
    <row r="15" customFormat="false" ht="13" hidden="false" customHeight="false" outlineLevel="0" collapsed="false">
      <c r="A15" s="1" t="n">
        <v>1</v>
      </c>
      <c r="B15" s="1" t="n">
        <v>4</v>
      </c>
      <c r="C15" s="1" t="n">
        <v>54580</v>
      </c>
      <c r="D15" s="1" t="n">
        <v>4</v>
      </c>
      <c r="E15" s="1" t="n">
        <v>12880</v>
      </c>
      <c r="F15" s="1" t="n">
        <v>4</v>
      </c>
      <c r="G15" s="1" t="n">
        <f aca="false">LN(A15+1)</f>
        <v>0.693147180559945</v>
      </c>
      <c r="H15" s="1" t="n">
        <f aca="false">LN(B15+1)</f>
        <v>1.6094379124341</v>
      </c>
      <c r="I15" s="1" t="n">
        <f aca="false">LN(C15+1)</f>
        <v>10.9074411158241</v>
      </c>
      <c r="J15" s="1" t="n">
        <f aca="false">LN(E15+1)</f>
        <v>9.46350863639609</v>
      </c>
      <c r="K15" s="1" t="n">
        <f aca="false">$N$3+$N$4*A15+$N$5*B15+$N$6*C15</f>
        <v>10631.7416579301</v>
      </c>
    </row>
    <row r="16" customFormat="false" ht="13" hidden="false" customHeight="false" outlineLevel="0" collapsed="false">
      <c r="A16" s="1" t="n">
        <v>1</v>
      </c>
      <c r="B16" s="1" t="n">
        <v>4</v>
      </c>
      <c r="C16" s="1" t="n">
        <v>78653</v>
      </c>
      <c r="D16" s="1" t="n">
        <v>4</v>
      </c>
      <c r="E16" s="1" t="n">
        <v>9880</v>
      </c>
      <c r="F16" s="1" t="n">
        <v>4</v>
      </c>
      <c r="G16" s="1" t="n">
        <f aca="false">LN(A16+1)</f>
        <v>0.693147180559945</v>
      </c>
      <c r="H16" s="1" t="n">
        <f aca="false">LN(B16+1)</f>
        <v>1.6094379124341</v>
      </c>
      <c r="I16" s="1" t="n">
        <f aca="false">LN(C16+1)</f>
        <v>11.2728137654259</v>
      </c>
      <c r="J16" s="1" t="n">
        <f aca="false">LN(E16+1)</f>
        <v>9.19836900019496</v>
      </c>
      <c r="K16" s="1" t="n">
        <f aca="false">$N$3+$N$4*A16+$N$5*B16+$N$6*C16</f>
        <v>10068.0019647086</v>
      </c>
    </row>
    <row r="17" customFormat="false" ht="13" hidden="false" customHeight="false" outlineLevel="0" collapsed="false">
      <c r="A17" s="1" t="n">
        <v>0</v>
      </c>
      <c r="B17" s="1" t="n">
        <v>4</v>
      </c>
      <c r="C17" s="1" t="n">
        <v>50149</v>
      </c>
      <c r="D17" s="1" t="n">
        <v>4</v>
      </c>
      <c r="E17" s="1" t="n">
        <v>13995</v>
      </c>
      <c r="F17" s="1" t="n">
        <v>4</v>
      </c>
      <c r="G17" s="1" t="n">
        <f aca="false">LN(A17+1)</f>
        <v>0</v>
      </c>
      <c r="H17" s="1" t="n">
        <f aca="false">LN(B17+1)</f>
        <v>1.6094379124341</v>
      </c>
      <c r="I17" s="1" t="n">
        <f aca="false">LN(C17+1)</f>
        <v>10.8227737933901</v>
      </c>
      <c r="J17" s="1" t="n">
        <f aca="false">LN(E17+1)</f>
        <v>9.54652685348758</v>
      </c>
      <c r="K17" s="1" t="n">
        <f aca="false">$N$3+$N$4*A17+$N$5*B17+$N$6*C17</f>
        <v>13473.7450526278</v>
      </c>
    </row>
    <row r="18" customFormat="false" ht="13" hidden="false" customHeight="false" outlineLevel="0" collapsed="false">
      <c r="A18" s="1" t="n">
        <v>0</v>
      </c>
      <c r="B18" s="1" t="n">
        <v>4</v>
      </c>
      <c r="C18" s="1" t="n">
        <v>106869</v>
      </c>
      <c r="D18" s="1" t="n">
        <v>4</v>
      </c>
      <c r="E18" s="1" t="n">
        <v>12980</v>
      </c>
      <c r="F18" s="1" t="n">
        <v>4</v>
      </c>
      <c r="G18" s="1" t="n">
        <f aca="false">LN(A18+1)</f>
        <v>0</v>
      </c>
      <c r="H18" s="1" t="n">
        <f aca="false">LN(B18+1)</f>
        <v>1.6094379124341</v>
      </c>
      <c r="I18" s="1" t="n">
        <f aca="false">LN(C18+1)</f>
        <v>11.5793684215189</v>
      </c>
      <c r="J18" s="1" t="n">
        <f aca="false">LN(E18+1)</f>
        <v>9.471242028893</v>
      </c>
      <c r="K18" s="1" t="n">
        <f aca="false">$N$3+$N$4*A18+$N$5*B18+$N$6*C18</f>
        <v>12145.4803826855</v>
      </c>
    </row>
    <row r="19" customFormat="false" ht="13" hidden="false" customHeight="false" outlineLevel="0" collapsed="false">
      <c r="A19" s="1" t="n">
        <v>0</v>
      </c>
      <c r="B19" s="1" t="n">
        <v>4</v>
      </c>
      <c r="C19" s="1" t="n">
        <v>90000</v>
      </c>
      <c r="D19" s="1" t="n">
        <v>4</v>
      </c>
      <c r="E19" s="1" t="n">
        <v>12495</v>
      </c>
      <c r="F19" s="1" t="n">
        <v>4</v>
      </c>
      <c r="G19" s="1" t="n">
        <f aca="false">LN(A19+1)</f>
        <v>0</v>
      </c>
      <c r="H19" s="1" t="n">
        <f aca="false">LN(B19+1)</f>
        <v>1.6094379124341</v>
      </c>
      <c r="I19" s="1" t="n">
        <f aca="false">LN(C19+1)</f>
        <v>11.4075760603618</v>
      </c>
      <c r="J19" s="1" t="n">
        <f aca="false">LN(E19+1)</f>
        <v>9.43316387207947</v>
      </c>
      <c r="K19" s="1" t="n">
        <f aca="false">$N$3+$N$4*A19+$N$5*B19+$N$6*C19</f>
        <v>12540.5173487866</v>
      </c>
    </row>
    <row r="20" customFormat="false" ht="13" hidden="false" customHeight="false" outlineLevel="0" collapsed="false">
      <c r="A20" s="1" t="n">
        <v>0</v>
      </c>
      <c r="B20" s="1" t="n">
        <v>4</v>
      </c>
      <c r="C20" s="1" t="n">
        <v>120000</v>
      </c>
      <c r="D20" s="1" t="n">
        <v>4</v>
      </c>
      <c r="E20" s="1" t="n">
        <v>10900</v>
      </c>
      <c r="F20" s="1" t="n">
        <v>4</v>
      </c>
      <c r="G20" s="1" t="n">
        <f aca="false">LN(A20+1)</f>
        <v>0</v>
      </c>
      <c r="H20" s="1" t="n">
        <f aca="false">LN(B20+1)</f>
        <v>1.6094379124341</v>
      </c>
      <c r="I20" s="1" t="n">
        <f aca="false">LN(C20+1)</f>
        <v>11.6952553550628</v>
      </c>
      <c r="J20" s="1" t="n">
        <f aca="false">LN(E20+1)</f>
        <v>9.29660980712836</v>
      </c>
      <c r="K20" s="1" t="n">
        <f aca="false">$N$3+$N$4*A20+$N$5*B20+$N$6*C20</f>
        <v>11837.979617858</v>
      </c>
    </row>
    <row r="21" customFormat="false" ht="13" hidden="false" customHeight="false" outlineLevel="0" collapsed="false">
      <c r="A21" s="1" t="n">
        <v>0</v>
      </c>
      <c r="B21" s="1" t="n">
        <v>5</v>
      </c>
      <c r="C21" s="1" t="n">
        <v>72861</v>
      </c>
      <c r="D21" s="1" t="n">
        <v>5</v>
      </c>
      <c r="E21" s="1" t="n">
        <v>12995</v>
      </c>
      <c r="F21" s="1" t="n">
        <v>5</v>
      </c>
      <c r="G21" s="1" t="n">
        <f aca="false">LN(A21+1)</f>
        <v>0</v>
      </c>
      <c r="H21" s="1" t="n">
        <f aca="false">LN(B21+1)</f>
        <v>1.79175946922806</v>
      </c>
      <c r="I21" s="1" t="n">
        <f aca="false">LN(C21+1)</f>
        <v>11.1963225200897</v>
      </c>
      <c r="J21" s="1" t="n">
        <f aca="false">LN(E21+1)</f>
        <v>9.47239689678899</v>
      </c>
      <c r="K21" s="1" t="n">
        <f aca="false">$N$3+$N$4*A21+$N$5*B21+$N$6*C21</f>
        <v>11590.5357013706</v>
      </c>
    </row>
    <row r="22" customFormat="false" ht="13" hidden="false" customHeight="false" outlineLevel="0" collapsed="false">
      <c r="A22" s="1" t="n">
        <v>0</v>
      </c>
      <c r="B22" s="1" t="n">
        <v>5</v>
      </c>
      <c r="C22" s="1" t="n">
        <v>87649</v>
      </c>
      <c r="D22" s="1" t="n">
        <v>5</v>
      </c>
      <c r="E22" s="1" t="n">
        <v>12995</v>
      </c>
      <c r="F22" s="1" t="n">
        <v>5</v>
      </c>
      <c r="G22" s="1" t="n">
        <f aca="false">LN(A22+1)</f>
        <v>0</v>
      </c>
      <c r="H22" s="1" t="n">
        <f aca="false">LN(B22+1)</f>
        <v>1.79175946922806</v>
      </c>
      <c r="I22" s="1" t="n">
        <f aca="false">LN(C22+1)</f>
        <v>11.3811068903494</v>
      </c>
      <c r="J22" s="1" t="n">
        <f aca="false">LN(E22+1)</f>
        <v>9.47239689678899</v>
      </c>
      <c r="K22" s="1" t="n">
        <f aca="false">$N$3+$N$4*A22+$N$5*B22+$N$6*C22</f>
        <v>11244.2314358715</v>
      </c>
    </row>
    <row r="23" customFormat="false" ht="13" hidden="false" customHeight="false" outlineLevel="0" collapsed="false">
      <c r="A23" s="1" t="n">
        <v>0</v>
      </c>
      <c r="B23" s="1" t="n">
        <v>5</v>
      </c>
      <c r="C23" s="1" t="n">
        <v>70000</v>
      </c>
      <c r="D23" s="1" t="n">
        <v>5</v>
      </c>
      <c r="E23" s="1" t="n">
        <v>12000</v>
      </c>
      <c r="F23" s="1" t="n">
        <v>5</v>
      </c>
      <c r="G23" s="1" t="n">
        <f aca="false">LN(A23+1)</f>
        <v>0</v>
      </c>
      <c r="H23" s="1" t="n">
        <f aca="false">LN(B23+1)</f>
        <v>1.79175946922806</v>
      </c>
      <c r="I23" s="1" t="n">
        <f aca="false">LN(C23+1)</f>
        <v>11.1562648066437</v>
      </c>
      <c r="J23" s="1" t="n">
        <f aca="false">LN(E23+1)</f>
        <v>9.39274525863144</v>
      </c>
      <c r="K23" s="1" t="n">
        <f aca="false">$N$3+$N$4*A23+$N$5*B23+$N$6*C23</f>
        <v>11657.5343829768</v>
      </c>
    </row>
    <row r="24" customFormat="false" ht="13" hidden="false" customHeight="false" outlineLevel="0" collapsed="false">
      <c r="A24" s="1" t="n">
        <v>0</v>
      </c>
      <c r="B24" s="1" t="n">
        <v>6</v>
      </c>
      <c r="C24" s="1" t="n">
        <v>78900</v>
      </c>
      <c r="D24" s="1" t="n">
        <v>6</v>
      </c>
      <c r="E24" s="1" t="n">
        <v>8000</v>
      </c>
      <c r="F24" s="1" t="n">
        <v>6</v>
      </c>
      <c r="G24" s="1" t="n">
        <f aca="false">LN(A24+1)</f>
        <v>0</v>
      </c>
      <c r="H24" s="1" t="n">
        <f aca="false">LN(B24+1)</f>
        <v>1.94591014905531</v>
      </c>
      <c r="I24" s="1" t="n">
        <f aca="false">LN(C24+1)</f>
        <v>11.2759491810249</v>
      </c>
      <c r="J24" s="1" t="n">
        <f aca="false">LN(E24+1)</f>
        <v>8.98732181285013</v>
      </c>
      <c r="K24" s="1" t="n">
        <f aca="false">$N$3+$N$4*A24+$N$5*B24+$N$6*C24</f>
        <v>10097.7734030392</v>
      </c>
    </row>
    <row r="25" customFormat="false" ht="13" hidden="false" customHeight="false" outlineLevel="0" collapsed="false">
      <c r="A25" s="1" t="n">
        <v>0</v>
      </c>
      <c r="B25" s="1" t="n">
        <v>6</v>
      </c>
      <c r="C25" s="1" t="n">
        <v>97000</v>
      </c>
      <c r="D25" s="1" t="n">
        <v>6</v>
      </c>
      <c r="E25" s="1" t="n">
        <v>10500</v>
      </c>
      <c r="F25" s="1" t="n">
        <v>6</v>
      </c>
      <c r="G25" s="1" t="n">
        <f aca="false">LN(A25+1)</f>
        <v>0</v>
      </c>
      <c r="H25" s="1" t="n">
        <f aca="false">LN(B25+1)</f>
        <v>1.94591014905531</v>
      </c>
      <c r="I25" s="1" t="n">
        <f aca="false">LN(C25+1)</f>
        <v>11.4824765667107</v>
      </c>
      <c r="J25" s="1" t="n">
        <f aca="false">LN(E25+1)</f>
        <v>9.25922576970599</v>
      </c>
      <c r="K25" s="1" t="n">
        <f aca="false">$N$3+$N$4*A25+$N$5*B25+$N$6*C25</f>
        <v>9673.90897204557</v>
      </c>
    </row>
    <row r="26" customFormat="false" ht="13" hidden="false" customHeight="false" outlineLevel="0" collapsed="false">
      <c r="A26" s="1" t="n">
        <v>1</v>
      </c>
      <c r="B26" s="1" t="n">
        <v>7</v>
      </c>
      <c r="C26" s="1" t="n">
        <v>110000</v>
      </c>
      <c r="D26" s="1" t="n">
        <v>7</v>
      </c>
      <c r="E26" s="1" t="n">
        <v>2000</v>
      </c>
      <c r="F26" s="1" t="n">
        <v>7</v>
      </c>
      <c r="G26" s="1" t="n">
        <f aca="false">LN(A26+1)</f>
        <v>0.693147180559945</v>
      </c>
      <c r="H26" s="1" t="n">
        <f aca="false">LN(B26+1)</f>
        <v>2.07944154167984</v>
      </c>
      <c r="I26" s="1" t="n">
        <f aca="false">LN(C26+1)</f>
        <v>11.6082447356423</v>
      </c>
      <c r="J26" s="1" t="n">
        <f aca="false">LN(E26+1)</f>
        <v>7.60140233458373</v>
      </c>
      <c r="K26" s="1" t="n">
        <f aca="false">$N$3+$N$4*A26+$N$5*B26+$N$6*C26</f>
        <v>5279.8959303747</v>
      </c>
    </row>
    <row r="27" customFormat="false" ht="13" hidden="false" customHeight="false" outlineLevel="0" collapsed="false">
      <c r="A27" s="1" t="n">
        <v>1</v>
      </c>
      <c r="B27" s="1" t="n">
        <v>7</v>
      </c>
      <c r="C27" s="1" t="n">
        <v>130000</v>
      </c>
      <c r="D27" s="1" t="n">
        <v>7</v>
      </c>
      <c r="E27" s="1" t="n">
        <v>5500</v>
      </c>
      <c r="F27" s="1" t="n">
        <v>7</v>
      </c>
      <c r="G27" s="1" t="n">
        <f aca="false">LN(A27+1)</f>
        <v>0.693147180559945</v>
      </c>
      <c r="H27" s="1" t="n">
        <f aca="false">LN(B27+1)</f>
        <v>2.07944154167984</v>
      </c>
      <c r="I27" s="1" t="n">
        <f aca="false">LN(C27+1)</f>
        <v>11.7752974217158</v>
      </c>
      <c r="J27" s="1" t="n">
        <f aca="false">LN(E27+1)</f>
        <v>8.61268517287546</v>
      </c>
      <c r="K27" s="1" t="n">
        <f aca="false">$N$3+$N$4*A27+$N$5*B27+$N$6*C27</f>
        <v>4811.53744308896</v>
      </c>
    </row>
    <row r="28" customFormat="false" ht="13" hidden="false" customHeight="false" outlineLevel="0" collapsed="false">
      <c r="A28" s="1" t="n">
        <v>0</v>
      </c>
      <c r="B28" s="1" t="n">
        <v>7</v>
      </c>
      <c r="C28" s="1" t="n">
        <v>71000</v>
      </c>
      <c r="D28" s="1" t="n">
        <v>7</v>
      </c>
      <c r="E28" s="1" t="n">
        <v>12000</v>
      </c>
      <c r="F28" s="1" t="n">
        <v>7</v>
      </c>
      <c r="G28" s="1" t="n">
        <f aca="false">LN(A28+1)</f>
        <v>0</v>
      </c>
      <c r="H28" s="1" t="n">
        <f aca="false">LN(B28+1)</f>
        <v>2.07944154167984</v>
      </c>
      <c r="I28" s="1" t="n">
        <f aca="false">LN(C28+1)</f>
        <v>11.1704492404313</v>
      </c>
      <c r="J28" s="1" t="n">
        <f aca="false">LN(E28+1)</f>
        <v>9.39274525863144</v>
      </c>
      <c r="K28" s="1" t="n">
        <f aca="false">$N$3+$N$4*A28+$N$5*B28+$N$6*C28</f>
        <v>8931.4335524215</v>
      </c>
    </row>
    <row r="29" customFormat="false" ht="13" hidden="false" customHeight="false" outlineLevel="0" collapsed="false">
      <c r="A29" s="1" t="n">
        <v>1</v>
      </c>
      <c r="B29" s="1" t="n">
        <v>8</v>
      </c>
      <c r="C29" s="1" t="n">
        <v>80000</v>
      </c>
      <c r="D29" s="1" t="n">
        <v>8</v>
      </c>
      <c r="E29" s="1" t="n">
        <v>4600</v>
      </c>
      <c r="F29" s="1" t="n">
        <v>8</v>
      </c>
      <c r="G29" s="1" t="n">
        <f aca="false">LN(A29+1)</f>
        <v>0.693147180559945</v>
      </c>
      <c r="H29" s="1" t="n">
        <f aca="false">LN(B29+1)</f>
        <v>2.19722457733622</v>
      </c>
      <c r="I29" s="1" t="n">
        <f aca="false">LN(C29+1)</f>
        <v>11.2897944135779</v>
      </c>
      <c r="J29" s="1" t="n">
        <f aca="false">LN(E29+1)</f>
        <v>8.43402895015547</v>
      </c>
      <c r="K29" s="1" t="n">
        <f aca="false">$N$3+$N$4*A29+$N$5*B29+$N$6*C29</f>
        <v>4631.09220820777</v>
      </c>
    </row>
    <row r="30" customFormat="false" ht="13" hidden="false" customHeight="false" outlineLevel="0" collapsed="false">
      <c r="A30" s="1" t="n">
        <v>0</v>
      </c>
      <c r="B30" s="1" t="n">
        <v>8</v>
      </c>
      <c r="C30" s="1" t="n">
        <v>96654</v>
      </c>
      <c r="D30" s="1" t="n">
        <v>8</v>
      </c>
      <c r="E30" s="1" t="n">
        <v>6000</v>
      </c>
      <c r="F30" s="1" t="n">
        <v>8</v>
      </c>
      <c r="G30" s="1" t="n">
        <f aca="false">LN(A30+1)</f>
        <v>0</v>
      </c>
      <c r="H30" s="1" t="n">
        <f aca="false">LN(B30+1)</f>
        <v>2.19722457733622</v>
      </c>
      <c r="I30" s="1" t="n">
        <f aca="false">LN(C30+1)</f>
        <v>11.4789032163558</v>
      </c>
      <c r="J30" s="1" t="n">
        <f aca="false">LN(E30+1)</f>
        <v>8.69968140098951</v>
      </c>
      <c r="K30" s="1" t="n">
        <f aca="false">$N$3+$N$4*A30+$N$5*B30+$N$6*C30</f>
        <v>6979.32866768454</v>
      </c>
    </row>
    <row r="31" customFormat="false" ht="13" hidden="false" customHeight="false" outlineLevel="0" collapsed="false">
      <c r="A31" s="1" t="n">
        <v>0</v>
      </c>
      <c r="B31" s="1" t="n">
        <v>8</v>
      </c>
      <c r="C31" s="1" t="n">
        <v>120000</v>
      </c>
      <c r="D31" s="1" t="n">
        <v>8</v>
      </c>
      <c r="E31" s="1" t="n">
        <v>4900</v>
      </c>
      <c r="F31" s="1" t="n">
        <v>8</v>
      </c>
      <c r="G31" s="1" t="n">
        <f aca="false">LN(A31+1)</f>
        <v>0</v>
      </c>
      <c r="H31" s="1" t="n">
        <f aca="false">LN(B31+1)</f>
        <v>2.19722457733622</v>
      </c>
      <c r="I31" s="1" t="n">
        <f aca="false">LN(C31+1)</f>
        <v>11.6952553550628</v>
      </c>
      <c r="J31" s="1" t="n">
        <f aca="false">LN(E31+1)</f>
        <v>8.49719454490955</v>
      </c>
      <c r="K31" s="1" t="n">
        <f aca="false">$N$3+$N$4*A31+$N$5*B31+$N$6*C31</f>
        <v>6432.6138054759</v>
      </c>
    </row>
    <row r="32" customFormat="false" ht="13" hidden="false" customHeight="false" outlineLevel="0" collapsed="false">
      <c r="A32" s="1" t="n">
        <v>0</v>
      </c>
      <c r="B32" s="1" t="n">
        <v>8</v>
      </c>
      <c r="C32" s="1" t="n">
        <v>94000</v>
      </c>
      <c r="D32" s="1" t="n">
        <v>8</v>
      </c>
      <c r="E32" s="1" t="n">
        <v>5500</v>
      </c>
      <c r="F32" s="1" t="n">
        <v>8</v>
      </c>
      <c r="G32" s="1" t="n">
        <f aca="false">LN(A32+1)</f>
        <v>0</v>
      </c>
      <c r="H32" s="1" t="n">
        <f aca="false">LN(B32+1)</f>
        <v>2.19722457733622</v>
      </c>
      <c r="I32" s="1" t="n">
        <f aca="false">LN(C32+1)</f>
        <v>11.4510606994934</v>
      </c>
      <c r="J32" s="1" t="n">
        <f aca="false">LN(E32+1)</f>
        <v>8.61268517287546</v>
      </c>
      <c r="K32" s="1" t="n">
        <f aca="false">$N$3+$N$4*A32+$N$5*B32+$N$6*C32</f>
        <v>7041.47983894736</v>
      </c>
    </row>
    <row r="33" customFormat="false" ht="13" hidden="false" customHeight="false" outlineLevel="0" collapsed="false">
      <c r="A33" s="1" t="n">
        <v>1</v>
      </c>
      <c r="B33" s="1" t="n">
        <v>9</v>
      </c>
      <c r="C33" s="1" t="n">
        <v>76000</v>
      </c>
      <c r="D33" s="1" t="n">
        <v>9</v>
      </c>
      <c r="E33" s="1" t="n">
        <v>3200</v>
      </c>
      <c r="F33" s="1" t="n">
        <v>9</v>
      </c>
      <c r="G33" s="1" t="n">
        <f aca="false">LN(A33+1)</f>
        <v>0.693147180559945</v>
      </c>
      <c r="H33" s="1" t="n">
        <f aca="false">LN(B33+1)</f>
        <v>2.30258509299405</v>
      </c>
      <c r="I33" s="1" t="n">
        <f aca="false">LN(C33+1)</f>
        <v>11.2385017770766</v>
      </c>
      <c r="J33" s="1" t="n">
        <f aca="false">LN(E33+1)</f>
        <v>8.07121853996986</v>
      </c>
      <c r="K33" s="1" t="n">
        <f aca="false">$N$3+$N$4*A33+$N$5*B33+$N$6*C33</f>
        <v>3373.42245256939</v>
      </c>
    </row>
    <row r="34" customFormat="false" ht="13" hidden="false" customHeight="false" outlineLevel="0" collapsed="false">
      <c r="A34" s="1" t="n">
        <v>0</v>
      </c>
      <c r="B34" s="1" t="n">
        <v>9</v>
      </c>
      <c r="C34" s="1" t="n">
        <v>91000</v>
      </c>
      <c r="D34" s="1" t="n">
        <v>9</v>
      </c>
      <c r="E34" s="1" t="n">
        <v>5850</v>
      </c>
      <c r="F34" s="1" t="n">
        <v>9</v>
      </c>
      <c r="G34" s="1" t="n">
        <f aca="false">LN(A34+1)</f>
        <v>0</v>
      </c>
      <c r="H34" s="1" t="n">
        <f aca="false">LN(B34+1)</f>
        <v>2.30258509299405</v>
      </c>
      <c r="I34" s="1" t="n">
        <f aca="false">LN(C34+1)</f>
        <v>11.4186257744496</v>
      </c>
      <c r="J34" s="1" t="n">
        <f aca="false">LN(E34+1)</f>
        <v>8.67436786578824</v>
      </c>
      <c r="K34" s="1" t="n">
        <f aca="false">$N$3+$N$4*A34+$N$5*B34+$N$6*C34</f>
        <v>5760.39215894469</v>
      </c>
    </row>
    <row r="35" customFormat="false" ht="13" hidden="false" customHeight="false" outlineLevel="0" collapsed="false">
      <c r="A35" s="1" t="n">
        <v>0</v>
      </c>
      <c r="B35" s="1" t="n">
        <v>9</v>
      </c>
      <c r="C35" s="1" t="n">
        <v>103000</v>
      </c>
      <c r="D35" s="1" t="n">
        <v>9</v>
      </c>
      <c r="E35" s="1" t="n">
        <v>4000</v>
      </c>
      <c r="F35" s="1" t="n">
        <v>9</v>
      </c>
      <c r="G35" s="1" t="n">
        <f aca="false">LN(A35+1)</f>
        <v>0</v>
      </c>
      <c r="H35" s="1" t="n">
        <f aca="false">LN(B35+1)</f>
        <v>2.30258509299405</v>
      </c>
      <c r="I35" s="1" t="n">
        <f aca="false">LN(C35+1)</f>
        <v>11.5424939759025</v>
      </c>
      <c r="J35" s="1" t="n">
        <f aca="false">LN(E35+1)</f>
        <v>8.29429960885724</v>
      </c>
      <c r="K35" s="1" t="n">
        <f aca="false">$N$3+$N$4*A35+$N$5*B35+$N$6*C35</f>
        <v>5479.37706657324</v>
      </c>
    </row>
    <row r="36" customFormat="false" ht="13" hidden="false" customHeight="false" outlineLevel="0" collapsed="false">
      <c r="A36" s="1" t="n">
        <v>1</v>
      </c>
      <c r="B36" s="1" t="n">
        <v>10</v>
      </c>
      <c r="C36" s="1" t="n">
        <v>128000</v>
      </c>
      <c r="D36" s="1" t="n">
        <v>10</v>
      </c>
      <c r="E36" s="1" t="n">
        <v>3250</v>
      </c>
      <c r="F36" s="1" t="n">
        <v>10</v>
      </c>
      <c r="G36" s="1" t="n">
        <f aca="false">LN(A36+1)</f>
        <v>0.693147180559945</v>
      </c>
      <c r="H36" s="1" t="n">
        <f aca="false">LN(B36+1)</f>
        <v>2.39789527279837</v>
      </c>
      <c r="I36" s="1" t="n">
        <f aca="false">LN(C36+1)</f>
        <v>11.7597933553712</v>
      </c>
      <c r="J36" s="1" t="n">
        <f aca="false">LN(E36+1)</f>
        <v>8.08671792030391</v>
      </c>
      <c r="K36" s="1" t="n">
        <f aca="false">$N$3+$N$4*A36+$N$5*B36+$N$6*C36</f>
        <v>804.348932530934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:G35"/>
    </sheetView>
  </sheetViews>
  <sheetFormatPr defaultColWidth="11.0546875" defaultRowHeight="13" customHeight="false" zeroHeight="false" outlineLevelRow="0" outlineLevelCol="0"/>
  <sheetData>
    <row r="1" customFormat="false" ht="13" hidden="false" customHeight="false" outlineLevel="0" collapsed="false">
      <c r="A1" s="1" t="s">
        <v>36</v>
      </c>
      <c r="B1" s="1" t="s">
        <v>37</v>
      </c>
      <c r="C1" s="1" t="s">
        <v>38</v>
      </c>
      <c r="E1" s="1" t="s">
        <v>34</v>
      </c>
      <c r="F1" s="1" t="s">
        <v>37</v>
      </c>
      <c r="G1" s="1" t="s">
        <v>38</v>
      </c>
    </row>
    <row r="2" customFormat="false" ht="13" hidden="false" customHeight="false" outlineLevel="0" collapsed="false">
      <c r="A2" s="1" t="n">
        <v>1</v>
      </c>
      <c r="B2" s="1" t="n">
        <v>19500</v>
      </c>
      <c r="C2" s="1" t="n">
        <v>18439.8741479791</v>
      </c>
      <c r="E2" s="1" t="n">
        <v>11200</v>
      </c>
      <c r="F2" s="1" t="n">
        <v>19500</v>
      </c>
      <c r="G2" s="1" t="n">
        <v>18439.8741479791</v>
      </c>
    </row>
    <row r="3" customFormat="false" ht="13" hidden="false" customHeight="false" outlineLevel="0" collapsed="false">
      <c r="A3" s="1" t="n">
        <v>2</v>
      </c>
      <c r="B3" s="1" t="n">
        <v>11994</v>
      </c>
      <c r="C3" s="1" t="n">
        <v>13703.9594105896</v>
      </c>
      <c r="E3" s="1" t="n">
        <v>16000</v>
      </c>
      <c r="F3" s="1" t="n">
        <v>15850</v>
      </c>
      <c r="G3" s="1" t="n">
        <v>16976.1266579349</v>
      </c>
    </row>
    <row r="4" customFormat="false" ht="13" hidden="false" customHeight="false" outlineLevel="0" collapsed="false">
      <c r="A4" s="1" t="n">
        <v>2</v>
      </c>
      <c r="B4" s="1" t="n">
        <v>12700</v>
      </c>
      <c r="C4" s="1" t="n">
        <v>16859.0370361135</v>
      </c>
      <c r="E4" s="1" t="n">
        <v>18344</v>
      </c>
      <c r="F4" s="1" t="n">
        <v>16995</v>
      </c>
      <c r="G4" s="1" t="n">
        <v>16921.2350432251</v>
      </c>
    </row>
    <row r="5" customFormat="false" ht="13" hidden="false" customHeight="false" outlineLevel="0" collapsed="false">
      <c r="A5" s="1" t="n">
        <v>2</v>
      </c>
      <c r="B5" s="1" t="n">
        <v>15850</v>
      </c>
      <c r="C5" s="1" t="n">
        <v>16976.1266579349</v>
      </c>
      <c r="E5" s="1" t="n">
        <v>21000</v>
      </c>
      <c r="F5" s="1" t="n">
        <v>12700</v>
      </c>
      <c r="G5" s="1" t="n">
        <v>16859.0370361135</v>
      </c>
    </row>
    <row r="6" customFormat="false" ht="13" hidden="false" customHeight="false" outlineLevel="0" collapsed="false">
      <c r="A6" s="1" t="n">
        <v>2</v>
      </c>
      <c r="B6" s="1" t="n">
        <v>15900</v>
      </c>
      <c r="C6" s="1" t="n">
        <v>16812.2011873849</v>
      </c>
      <c r="E6" s="1" t="n">
        <v>23000</v>
      </c>
      <c r="F6" s="1" t="n">
        <v>15900</v>
      </c>
      <c r="G6" s="1" t="n">
        <v>16812.2011873849</v>
      </c>
    </row>
    <row r="7" customFormat="false" ht="13" hidden="false" customHeight="false" outlineLevel="0" collapsed="false">
      <c r="A7" s="1" t="n">
        <v>2</v>
      </c>
      <c r="B7" s="1" t="n">
        <v>15995</v>
      </c>
      <c r="C7" s="1" t="n">
        <v>16107.4855894904</v>
      </c>
      <c r="E7" s="1" t="n">
        <v>38800</v>
      </c>
      <c r="F7" s="1" t="n">
        <v>11994</v>
      </c>
      <c r="G7" s="1" t="n">
        <v>13703.9594105896</v>
      </c>
    </row>
    <row r="8" customFormat="false" ht="13" hidden="false" customHeight="false" outlineLevel="0" collapsed="false">
      <c r="A8" s="1" t="n">
        <v>2</v>
      </c>
      <c r="B8" s="1" t="n">
        <v>16995</v>
      </c>
      <c r="C8" s="1" t="n">
        <v>16329.9558709512</v>
      </c>
      <c r="E8" s="1" t="n">
        <v>40950</v>
      </c>
      <c r="F8" s="1" t="n">
        <v>19665</v>
      </c>
      <c r="G8" s="1" t="n">
        <v>15040.5079919505</v>
      </c>
    </row>
    <row r="9" customFormat="false" ht="13" hidden="false" customHeight="false" outlineLevel="0" collapsed="false">
      <c r="A9" s="1" t="n">
        <v>2</v>
      </c>
      <c r="B9" s="1" t="n">
        <v>16995</v>
      </c>
      <c r="C9" s="1" t="n">
        <v>16921.2350432251</v>
      </c>
      <c r="E9" s="1" t="n">
        <v>42143</v>
      </c>
      <c r="F9" s="1" t="n">
        <v>14995</v>
      </c>
      <c r="G9" s="1" t="n">
        <v>15012.5704081839</v>
      </c>
    </row>
    <row r="10" customFormat="false" ht="13" hidden="false" customHeight="false" outlineLevel="0" collapsed="false">
      <c r="A10" s="1" t="n">
        <v>3</v>
      </c>
      <c r="B10" s="1" t="n">
        <v>12950</v>
      </c>
      <c r="C10" s="1" t="n">
        <v>14922.2474739108</v>
      </c>
      <c r="E10" s="1" t="n">
        <v>43593</v>
      </c>
      <c r="F10" s="1" t="n">
        <v>16995</v>
      </c>
      <c r="G10" s="1" t="n">
        <v>16329.9558709512</v>
      </c>
    </row>
    <row r="11" customFormat="false" ht="13" hidden="false" customHeight="false" outlineLevel="0" collapsed="false">
      <c r="A11" s="1" t="n">
        <v>3</v>
      </c>
      <c r="B11" s="1" t="n">
        <v>14995</v>
      </c>
      <c r="C11" s="1" t="n">
        <v>15012.5704081839</v>
      </c>
      <c r="E11" s="1" t="n">
        <v>46000</v>
      </c>
      <c r="F11" s="1" t="n">
        <v>12950</v>
      </c>
      <c r="G11" s="1" t="n">
        <v>14922.2474739108</v>
      </c>
    </row>
    <row r="12" customFormat="false" ht="13" hidden="false" customHeight="false" outlineLevel="0" collapsed="false">
      <c r="A12" s="1" t="n">
        <v>3</v>
      </c>
      <c r="B12" s="1" t="n">
        <v>16500</v>
      </c>
      <c r="C12" s="1" t="n">
        <v>14847.4272055669</v>
      </c>
      <c r="E12" s="1" t="n">
        <v>49195</v>
      </c>
      <c r="F12" s="1" t="n">
        <v>16500</v>
      </c>
      <c r="G12" s="1" t="n">
        <v>14847.4272055669</v>
      </c>
    </row>
    <row r="13" customFormat="false" ht="13" hidden="false" customHeight="false" outlineLevel="0" collapsed="false">
      <c r="A13" s="1" t="n">
        <v>3</v>
      </c>
      <c r="B13" s="1" t="n">
        <v>19665</v>
      </c>
      <c r="C13" s="1" t="n">
        <v>15040.5079919505</v>
      </c>
      <c r="E13" s="1" t="n">
        <v>50149</v>
      </c>
      <c r="F13" s="1" t="n">
        <v>13995</v>
      </c>
      <c r="G13" s="1" t="n">
        <v>13473.7450526278</v>
      </c>
    </row>
    <row r="14" customFormat="false" ht="13" hidden="false" customHeight="false" outlineLevel="0" collapsed="false">
      <c r="A14" s="1" t="n">
        <v>4</v>
      </c>
      <c r="B14" s="1" t="n">
        <v>9880</v>
      </c>
      <c r="C14" s="1" t="n">
        <v>10068.0019647086</v>
      </c>
      <c r="E14" s="1" t="n">
        <v>53093</v>
      </c>
      <c r="F14" s="1" t="n">
        <v>15995</v>
      </c>
      <c r="G14" s="1" t="n">
        <v>16107.4855894904</v>
      </c>
    </row>
    <row r="15" customFormat="false" ht="13" hidden="false" customHeight="false" outlineLevel="0" collapsed="false">
      <c r="A15" s="1" t="n">
        <v>4</v>
      </c>
      <c r="B15" s="1" t="n">
        <v>10900</v>
      </c>
      <c r="C15" s="1" t="n">
        <v>11837.979617858</v>
      </c>
      <c r="E15" s="1" t="n">
        <v>54580</v>
      </c>
      <c r="F15" s="1" t="n">
        <v>12880</v>
      </c>
      <c r="G15" s="1" t="n">
        <v>10631.7416579301</v>
      </c>
    </row>
    <row r="16" customFormat="false" ht="13" hidden="false" customHeight="false" outlineLevel="0" collapsed="false">
      <c r="A16" s="1" t="n">
        <v>4</v>
      </c>
      <c r="B16" s="1" t="n">
        <v>12495</v>
      </c>
      <c r="C16" s="1" t="n">
        <v>12540.5173487866</v>
      </c>
      <c r="E16" s="1" t="n">
        <v>70000</v>
      </c>
      <c r="F16" s="1" t="n">
        <v>12000</v>
      </c>
      <c r="G16" s="1" t="n">
        <v>11657.5343829768</v>
      </c>
    </row>
    <row r="17" customFormat="false" ht="13" hidden="false" customHeight="false" outlineLevel="0" collapsed="false">
      <c r="A17" s="1" t="n">
        <v>4</v>
      </c>
      <c r="B17" s="1" t="n">
        <v>12880</v>
      </c>
      <c r="C17" s="1" t="n">
        <v>10631.7416579301</v>
      </c>
      <c r="E17" s="1" t="n">
        <v>71000</v>
      </c>
      <c r="F17" s="1" t="n">
        <v>12000</v>
      </c>
      <c r="G17" s="1" t="n">
        <v>8931.4335524215</v>
      </c>
    </row>
    <row r="18" customFormat="false" ht="13" hidden="false" customHeight="false" outlineLevel="0" collapsed="false">
      <c r="A18" s="1" t="n">
        <v>4</v>
      </c>
      <c r="B18" s="1" t="n">
        <v>12980</v>
      </c>
      <c r="C18" s="1" t="n">
        <v>12145.4803826855</v>
      </c>
      <c r="E18" s="1" t="n">
        <v>72861</v>
      </c>
      <c r="F18" s="1" t="n">
        <v>12995</v>
      </c>
      <c r="G18" s="1" t="n">
        <v>11590.5357013706</v>
      </c>
    </row>
    <row r="19" customFormat="false" ht="13" hidden="false" customHeight="false" outlineLevel="0" collapsed="false">
      <c r="A19" s="1" t="n">
        <v>4</v>
      </c>
      <c r="B19" s="1" t="n">
        <v>13995</v>
      </c>
      <c r="C19" s="1" t="n">
        <v>13473.7450526278</v>
      </c>
      <c r="E19" s="1" t="n">
        <v>76000</v>
      </c>
      <c r="F19" s="1" t="n">
        <v>3200</v>
      </c>
      <c r="G19" s="1" t="n">
        <v>3373.42245256939</v>
      </c>
    </row>
    <row r="20" customFormat="false" ht="13" hidden="false" customHeight="false" outlineLevel="0" collapsed="false">
      <c r="A20" s="1" t="n">
        <v>5</v>
      </c>
      <c r="B20" s="1" t="n">
        <v>12000</v>
      </c>
      <c r="C20" s="1" t="n">
        <v>11657.5343829768</v>
      </c>
      <c r="E20" s="1" t="n">
        <v>78653</v>
      </c>
      <c r="F20" s="1" t="n">
        <v>9880</v>
      </c>
      <c r="G20" s="1" t="n">
        <v>10068.0019647086</v>
      </c>
    </row>
    <row r="21" customFormat="false" ht="13" hidden="false" customHeight="false" outlineLevel="0" collapsed="false">
      <c r="A21" s="1" t="n">
        <v>5</v>
      </c>
      <c r="B21" s="1" t="n">
        <v>12995</v>
      </c>
      <c r="C21" s="1" t="n">
        <v>11590.5357013706</v>
      </c>
      <c r="E21" s="1" t="n">
        <v>78900</v>
      </c>
      <c r="F21" s="1" t="n">
        <v>8000</v>
      </c>
      <c r="G21" s="1" t="n">
        <v>10097.7734030392</v>
      </c>
    </row>
    <row r="22" customFormat="false" ht="13" hidden="false" customHeight="false" outlineLevel="0" collapsed="false">
      <c r="A22" s="1" t="n">
        <v>5</v>
      </c>
      <c r="B22" s="1" t="n">
        <v>12995</v>
      </c>
      <c r="C22" s="1" t="n">
        <v>11244.2314358715</v>
      </c>
      <c r="E22" s="1" t="n">
        <v>80000</v>
      </c>
      <c r="F22" s="1" t="n">
        <v>4600</v>
      </c>
      <c r="G22" s="1" t="n">
        <v>4631.09220820777</v>
      </c>
    </row>
    <row r="23" customFormat="false" ht="13" hidden="false" customHeight="false" outlineLevel="0" collapsed="false">
      <c r="A23" s="1" t="n">
        <v>6</v>
      </c>
      <c r="B23" s="1" t="n">
        <v>8000</v>
      </c>
      <c r="C23" s="1" t="n">
        <v>10097.7734030392</v>
      </c>
      <c r="E23" s="1" t="n">
        <v>87649</v>
      </c>
      <c r="F23" s="1" t="n">
        <v>12995</v>
      </c>
      <c r="G23" s="1" t="n">
        <v>11244.2314358715</v>
      </c>
    </row>
    <row r="24" customFormat="false" ht="13" hidden="false" customHeight="false" outlineLevel="0" collapsed="false">
      <c r="A24" s="1" t="n">
        <v>6</v>
      </c>
      <c r="B24" s="1" t="n">
        <v>10500</v>
      </c>
      <c r="C24" s="1" t="n">
        <v>9673.90897204557</v>
      </c>
      <c r="E24" s="1" t="n">
        <v>90000</v>
      </c>
      <c r="F24" s="1" t="n">
        <v>12495</v>
      </c>
      <c r="G24" s="1" t="n">
        <v>12540.5173487866</v>
      </c>
    </row>
    <row r="25" customFormat="false" ht="13" hidden="false" customHeight="false" outlineLevel="0" collapsed="false">
      <c r="A25" s="1" t="n">
        <v>7</v>
      </c>
      <c r="B25" s="1" t="n">
        <v>2000</v>
      </c>
      <c r="C25" s="1" t="n">
        <v>5279.8959303747</v>
      </c>
      <c r="E25" s="1" t="n">
        <v>91000</v>
      </c>
      <c r="F25" s="1" t="n">
        <v>5850</v>
      </c>
      <c r="G25" s="1" t="n">
        <v>5760.39215894469</v>
      </c>
    </row>
    <row r="26" customFormat="false" ht="13" hidden="false" customHeight="false" outlineLevel="0" collapsed="false">
      <c r="A26" s="1" t="n">
        <v>7</v>
      </c>
      <c r="B26" s="1" t="n">
        <v>5500</v>
      </c>
      <c r="C26" s="1" t="n">
        <v>4811.53744308896</v>
      </c>
      <c r="E26" s="1" t="n">
        <v>94000</v>
      </c>
      <c r="F26" s="1" t="n">
        <v>5500</v>
      </c>
      <c r="G26" s="1" t="n">
        <v>7041.47983894736</v>
      </c>
    </row>
    <row r="27" customFormat="false" ht="13" hidden="false" customHeight="false" outlineLevel="0" collapsed="false">
      <c r="A27" s="1" t="n">
        <v>7</v>
      </c>
      <c r="B27" s="1" t="n">
        <v>12000</v>
      </c>
      <c r="C27" s="1" t="n">
        <v>8931.4335524215</v>
      </c>
      <c r="E27" s="1" t="n">
        <v>96654</v>
      </c>
      <c r="F27" s="1" t="n">
        <v>6000</v>
      </c>
      <c r="G27" s="1" t="n">
        <v>6979.32866768454</v>
      </c>
    </row>
    <row r="28" customFormat="false" ht="13" hidden="false" customHeight="false" outlineLevel="0" collapsed="false">
      <c r="A28" s="1" t="n">
        <v>8</v>
      </c>
      <c r="B28" s="1" t="n">
        <v>4600</v>
      </c>
      <c r="C28" s="1" t="n">
        <v>4631.09220820777</v>
      </c>
      <c r="E28" s="1" t="n">
        <v>97000</v>
      </c>
      <c r="F28" s="1" t="n">
        <v>10500</v>
      </c>
      <c r="G28" s="1" t="n">
        <v>9673.90897204557</v>
      </c>
    </row>
    <row r="29" customFormat="false" ht="13" hidden="false" customHeight="false" outlineLevel="0" collapsed="false">
      <c r="A29" s="1" t="n">
        <v>8</v>
      </c>
      <c r="B29" s="1" t="n">
        <v>4900</v>
      </c>
      <c r="C29" s="1" t="n">
        <v>6432.6138054759</v>
      </c>
      <c r="E29" s="1" t="n">
        <v>103000</v>
      </c>
      <c r="F29" s="1" t="n">
        <v>4000</v>
      </c>
      <c r="G29" s="1" t="n">
        <v>5479.37706657324</v>
      </c>
    </row>
    <row r="30" customFormat="false" ht="13" hidden="false" customHeight="false" outlineLevel="0" collapsed="false">
      <c r="A30" s="1" t="n">
        <v>8</v>
      </c>
      <c r="B30" s="1" t="n">
        <v>5500</v>
      </c>
      <c r="C30" s="1" t="n">
        <v>7041.47983894736</v>
      </c>
      <c r="E30" s="1" t="n">
        <v>106869</v>
      </c>
      <c r="F30" s="1" t="n">
        <v>12980</v>
      </c>
      <c r="G30" s="1" t="n">
        <v>12145.4803826855</v>
      </c>
    </row>
    <row r="31" customFormat="false" ht="13" hidden="false" customHeight="false" outlineLevel="0" collapsed="false">
      <c r="A31" s="1" t="n">
        <v>8</v>
      </c>
      <c r="B31" s="1" t="n">
        <v>6000</v>
      </c>
      <c r="C31" s="1" t="n">
        <v>6979.32866768454</v>
      </c>
      <c r="E31" s="1" t="n">
        <v>110000</v>
      </c>
      <c r="F31" s="1" t="n">
        <v>2000</v>
      </c>
      <c r="G31" s="1" t="n">
        <v>5279.8959303747</v>
      </c>
    </row>
    <row r="32" customFormat="false" ht="13" hidden="false" customHeight="false" outlineLevel="0" collapsed="false">
      <c r="A32" s="1" t="n">
        <v>9</v>
      </c>
      <c r="B32" s="1" t="n">
        <v>3200</v>
      </c>
      <c r="C32" s="1" t="n">
        <v>3373.42245256939</v>
      </c>
      <c r="E32" s="1" t="n">
        <v>120000</v>
      </c>
      <c r="F32" s="1" t="n">
        <v>4900</v>
      </c>
      <c r="G32" s="1" t="n">
        <v>6432.6138054759</v>
      </c>
    </row>
    <row r="33" customFormat="false" ht="13" hidden="false" customHeight="false" outlineLevel="0" collapsed="false">
      <c r="A33" s="1" t="n">
        <v>9</v>
      </c>
      <c r="B33" s="1" t="n">
        <v>4000</v>
      </c>
      <c r="C33" s="1" t="n">
        <v>5479.37706657324</v>
      </c>
      <c r="E33" s="1" t="n">
        <v>120000</v>
      </c>
      <c r="F33" s="1" t="n">
        <v>10900</v>
      </c>
      <c r="G33" s="1" t="n">
        <v>11837.979617858</v>
      </c>
    </row>
    <row r="34" customFormat="false" ht="13" hidden="false" customHeight="false" outlineLevel="0" collapsed="false">
      <c r="A34" s="1" t="n">
        <v>9</v>
      </c>
      <c r="B34" s="1" t="n">
        <v>5850</v>
      </c>
      <c r="C34" s="1" t="n">
        <v>5760.39215894469</v>
      </c>
      <c r="E34" s="1" t="n">
        <v>128000</v>
      </c>
      <c r="F34" s="1" t="n">
        <v>3250</v>
      </c>
      <c r="G34" s="1" t="n">
        <v>804.348932530934</v>
      </c>
    </row>
    <row r="35" customFormat="false" ht="13" hidden="false" customHeight="false" outlineLevel="0" collapsed="false">
      <c r="A35" s="1" t="n">
        <v>10</v>
      </c>
      <c r="B35" s="1" t="n">
        <v>3250</v>
      </c>
      <c r="C35" s="1" t="n">
        <v>804.348932530934</v>
      </c>
      <c r="E35" s="1" t="n">
        <v>130000</v>
      </c>
      <c r="F35" s="1" t="n">
        <v>5500</v>
      </c>
      <c r="G35" s="1" t="n">
        <v>4811.53744308896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>David Levinson</cp:lastModifiedBy>
  <cp:revision>0</cp:revision>
  <dc:subject/>
  <dc:title/>
</cp:coreProperties>
</file>