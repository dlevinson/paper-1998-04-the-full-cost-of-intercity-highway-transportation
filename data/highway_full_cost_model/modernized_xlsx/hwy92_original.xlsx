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ExpenditureExport" sheetId="2" state="visible" r:id="rId4"/>
    <sheet name="PriceExport" sheetId="3" state="visible" r:id="rId5"/>
    <sheet name="Prices" sheetId="4" state="visible" r:id="rId6"/>
    <sheet name="TIMESER3" sheetId="5" state="visible" r:id="rId7"/>
    <sheet name="Master" sheetId="6" state="visible" r:id="rId8"/>
    <sheet name="URB_EXP_93" sheetId="7" state="visible" r:id="rId9"/>
    <sheet name="TOT_EXP_93" sheetId="8" state="visible" r:id="rId10"/>
    <sheet name="LRTE.SRTE" sheetId="9" state="visible" r:id="rId11"/>
    <sheet name="Model" sheetId="10" state="visible" r:id="rId12"/>
    <sheet name="N-Size" sheetId="11" state="visible" r:id="rId13"/>
    <sheet name="Y-Output" sheetId="12" state="visible" r:id="rId14"/>
    <sheet name="TRUCKS" sheetId="13" state="visible" r:id="rId15"/>
    <sheet name="LANES" sheetId="14" state="visible" r:id="rId16"/>
    <sheet name="MILES" sheetId="15" state="visible" r:id="rId17"/>
    <sheet name="RUR_EXP_93" sheetId="16" state="visible" r:id="rId18"/>
    <sheet name="DUMMIES" sheetId="17" state="visible" r:id="rId19"/>
    <sheet name="VMT_92" sheetId="18" state="visible" r:id="rId20"/>
    <sheet name="ORIG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<sst xmlns="http://schemas.openxmlformats.org/spreadsheetml/2006/main" count="2044" uniqueCount="349">
  <si>
    <t xml:space="preserve">POP90(THSD)</t>
  </si>
  <si>
    <t xml:space="preserve">SQMILES</t>
  </si>
  <si>
    <t xml:space="preserve">POPDENS=LAND</t>
  </si>
  <si>
    <t xml:space="preserve">CAPTOTTOT93</t>
  </si>
  <si>
    <t xml:space="preserve">MILTOTTOT93</t>
  </si>
  <si>
    <t xml:space="preserve">MILES92</t>
  </si>
  <si>
    <t xml:space="preserve">NETMILES</t>
  </si>
  <si>
    <t xml:space="preserve">PCAPperMIL93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</si>
  <si>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</si>
  <si>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</si>
  <si>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</si>
  <si>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</si>
  <si>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</si>
  <si>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</si>
  <si>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</si>
  <si>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</si>
  <si>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 of  Col.</t>
  </si>
  <si>
    <t xml:space="preserve">Florida</t>
  </si>
  <si>
    <t xml:space="preserve">Georgia</t>
  </si>
  <si>
    <t xml:space="preserve">Hawaii</t>
  </si>
  <si>
    <t xml:space="preserve">NA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</si>
  <si>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</si>
  <si>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</si>
  <si>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</si>
  <si>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</si>
  <si>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</si>
  <si>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</si>
  <si>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</si>
  <si>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</si>
  <si>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</si>
  <si>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</si>
  <si>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</si>
  <si>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</si>
  <si>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</si>
  <si>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</si>
  <si>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 </t>
  </si>
  <si>
    <t xml:space="preserve">Nebraska</t>
  </si>
  <si>
    <t xml:space="preserve">Nevada</t>
  </si>
  <si>
    <t xml:space="preserve">New  Hampshire</t>
  </si>
  <si>
    <t xml:space="preserve">New  Jersey</t>
  </si>
  <si>
    <t xml:space="preserve">New  Mexico</t>
  </si>
  <si>
    <t xml:space="preserve">New  York</t>
  </si>
  <si>
    <t xml:space="preserve">North  Carolina</t>
  </si>
  <si>
    <t xml:space="preserve">North 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</si>
  <si>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</si>
  <si>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</si>
  <si>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</si>
  <si>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</si>
  <si>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 Island</t>
  </si>
  <si>
    <t xml:space="preserve">South  Carolina</t>
  </si>
  <si>
    <t xml:space="preserve">South 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</si>
  <si>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</si>
  <si>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</si>
  <si>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</si>
  <si>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</si>
  <si>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</si>
  <si>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</si>
  <si>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 Virginia</t>
  </si>
  <si>
    <t xml:space="preserve">Wisconsin</t>
  </si>
  <si>
    <t xml:space="preserve">Wyoming</t>
  </si>
  <si>
    <t xml:space="preserve">Undistributed</t>
  </si>
  <si>
    <t xml:space="preserve">Total</t>
  </si>
  <si>
    <t xml:space="preserve">Average Price of Bituminous Concrete (Contract Price per Ton) p.7 (TE183.U5) "Price Trends for Federal Aid Highway Construction, Fourth Quarter 1993</t>
  </si>
  <si>
    <t xml:space="preserve">Average Price of Common Excavation (Contract Price per cu yd) p.7 (TE183.U5) "Price Trends for Federal Aid Highway Construction, Fourth Quarter 1993</t>
  </si>
  <si>
    <t xml:space="preserve">Average Price of Reinforcing Steel (Contract Price per lb) p.7 (TE183.U5) "Price Trends for Federal Aid Highway Construction, Fourth Quarter 1993</t>
  </si>
  <si>
    <t xml:space="preserve">Average Price of Structural Concrete (Contract Price per cu yd) p.7 (TE183.U5) "Price Trends for Federal Aid Highway Construction, Fourth Quarter 1993</t>
  </si>
  <si>
    <t xml:space="preserve">Govt Salaries from BLS:.  State and industry average annual pay for 1993 and 1994, press release Tuesday Sept. 19, 1995</t>
  </si>
  <si>
    <t xml:space="preserve">Technical information:  (202) 606-6567         USDL 95-376</t>
  </si>
  <si>
    <t xml:space="preserve">State</t>
  </si>
  <si>
    <t xml:space="preserve">Stock Capital 1988 (millions)</t>
  </si>
  <si>
    <t xml:space="preserve">CAPTOTTOT (thousands)</t>
  </si>
  <si>
    <t xml:space="preserve">MNTTOTTOT (thousands)</t>
  </si>
  <si>
    <t xml:space="preserve">ADM_MISC (thousands)</t>
  </si>
  <si>
    <t xml:space="preserve">LAW_SAFETY (thousands)</t>
  </si>
  <si>
    <t xml:space="preserve">INTEREST (thousands)</t>
  </si>
  <si>
    <t xml:space="preserve">BONDRETIRE (thousands)</t>
  </si>
  <si>
    <t xml:space="preserve">Cc</t>
  </si>
  <si>
    <t xml:space="preserve">Cm</t>
  </si>
  <si>
    <t xml:space="preserve">Cl</t>
  </si>
  <si>
    <t xml:space="preserve">LRTE</t>
  </si>
  <si>
    <t xml:space="preserve">SRTE</t>
  </si>
  <si>
    <t xml:space="preserve">Average</t>
  </si>
  <si>
    <t xml:space="preserve">Pl  Goverment Salary (1993)</t>
  </si>
  <si>
    <t xml:space="preserve">Pl</t>
  </si>
  <si>
    <t xml:space="preserve">Pk Moody's Bond Rating</t>
  </si>
  <si>
    <t xml:space="preserve">Pm Bituminous Concrete (1993)</t>
  </si>
  <si>
    <t xml:space="preserve">Excavation (1993)</t>
  </si>
  <si>
    <t xml:space="preserve">Reinforced Steel (1993)</t>
  </si>
  <si>
    <t xml:space="preserve">Structural Steel (1993)</t>
  </si>
  <si>
    <t xml:space="preserve">Structural Concrete (1993)</t>
  </si>
  <si>
    <t xml:space="preserve">PGOVSAL94</t>
  </si>
  <si>
    <t xml:space="preserve">  AA</t>
  </si>
  <si>
    <t xml:space="preserve">   A</t>
  </si>
  <si>
    <t xml:space="preserve">   X</t>
  </si>
  <si>
    <t xml:space="preserve">  A1</t>
  </si>
  <si>
    <t xml:space="preserve"> AA1</t>
  </si>
  <si>
    <t xml:space="preserve"> AAA</t>
  </si>
  <si>
    <t xml:space="preserve"> BBB</t>
  </si>
  <si>
    <t xml:space="preserve">BBA1</t>
  </si>
  <si>
    <t xml:space="preserve">BAA1</t>
  </si>
  <si>
    <t xml:space="preserve">AA</t>
  </si>
  <si>
    <t xml:space="preserve">PGOVSAL93</t>
  </si>
  <si>
    <t xml:space="preserve">PBITCONC93</t>
  </si>
  <si>
    <t xml:space="preserve">PEXCAV93</t>
  </si>
  <si>
    <t xml:space="preserve">PREINFSTL93</t>
  </si>
  <si>
    <t xml:space="preserve">PSTRUCTSTL93</t>
  </si>
  <si>
    <t xml:space="preserve">PSTRUCCON93</t>
  </si>
  <si>
    <t xml:space="preserve">BONDRATE (Moody's)</t>
  </si>
  <si>
    <t xml:space="preserve">STATE</t>
  </si>
  <si>
    <t xml:space="preserve">YEAR</t>
  </si>
  <si>
    <t xml:space="preserve">HIGHWAY</t>
  </si>
  <si>
    <t xml:space="preserve">GSP</t>
  </si>
  <si>
    <t xml:space="preserve">TOTPUB</t>
  </si>
  <si>
    <t xml:space="preserve">PVTCAP</t>
  </si>
  <si>
    <t xml:space="preserve">AREA</t>
  </si>
  <si>
    <t xml:space="preserve">ROW</t>
  </si>
  <si>
    <t xml:space="preserve">TCAP</t>
  </si>
  <si>
    <t xml:space="preserve">TMANT</t>
  </si>
  <si>
    <t xml:space="preserve">"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</si>
  <si>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</si>
  <si>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</si>
  <si>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</si>
  <si>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</si>
  <si>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</si>
  <si>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</si>
  <si>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</si>
  <si>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</si>
  <si>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DISTRICT_OF_COL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</si>
  <si>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</si>
  <si>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</si>
  <si>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</si>
  <si>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</si>
  <si>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</si>
  <si>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</si>
  <si>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</si>
  <si>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</si>
  <si>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</si>
  <si>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</si>
  <si>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</si>
  <si>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</si>
  <si>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</si>
  <si>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</si>
  <si>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</si>
  <si>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</si>
  <si>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</si>
  <si>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</si>
  <si>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</si>
  <si>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</si>
  <si>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NEW_HAMPSHIRE</t>
  </si>
  <si>
    <t xml:space="preserve">NEW_JERSEY</t>
  </si>
  <si>
    <t xml:space="preserve">NEW_MEXICO</t>
  </si>
  <si>
    <t xml:space="preserve">NEW_YORK</t>
  </si>
  <si>
    <t xml:space="preserve">NORTH_CAROLINA</t>
  </si>
  <si>
    <t xml:space="preserve">NORTH_DAKOTA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</si>
  <si>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</si>
  <si>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</si>
  <si>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</si>
  <si>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</si>
  <si>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RHODE_ISLAND</t>
  </si>
  <si>
    <t xml:space="preserve">SOUTH_CAROLINA</t>
  </si>
  <si>
    <t xml:space="preserve">SOUTH_DAKOTA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</si>
  <si>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</si>
  <si>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</si>
  <si>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</si>
  <si>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</si>
  <si>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</si>
  <si>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</si>
  <si>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WEST_VIRGINIA</t>
  </si>
  <si>
    <t xml:space="preserve">WISCONSIN</t>
  </si>
  <si>
    <t xml:space="preserve">WYOMING</t>
  </si>
  <si>
    <t xml:space="preserve">CAPURBINT</t>
  </si>
  <si>
    <t xml:space="preserve">CAPURBLOC</t>
  </si>
  <si>
    <t xml:space="preserve">CAPURBTOT</t>
  </si>
  <si>
    <t xml:space="preserve">MNTURBINT</t>
  </si>
  <si>
    <t xml:space="preserve">MNTURBLOC</t>
  </si>
  <si>
    <t xml:space="preserve">MNTURBTOT</t>
  </si>
  <si>
    <t xml:space="preserve">CAPRURINT</t>
  </si>
  <si>
    <t xml:space="preserve">CAPRURLOC</t>
  </si>
  <si>
    <t xml:space="preserve">CAPRURTOT</t>
  </si>
  <si>
    <t xml:space="preserve">MNTRURINT</t>
  </si>
  <si>
    <t xml:space="preserve">MNTRURLOC</t>
  </si>
  <si>
    <t xml:space="preserve">MNTRURTOT</t>
  </si>
  <si>
    <t xml:space="preserve">CAPTOTINT</t>
  </si>
  <si>
    <t xml:space="preserve">CAPTOTLOC</t>
  </si>
  <si>
    <t xml:space="preserve">CAPTOTTOT</t>
  </si>
  <si>
    <t xml:space="preserve">MNTTOTINT</t>
  </si>
  <si>
    <t xml:space="preserve">MNTTOTLOC</t>
  </si>
  <si>
    <t xml:space="preserve">MNTTOTTOT</t>
  </si>
  <si>
    <t xml:space="preserve">MILRURINT</t>
  </si>
  <si>
    <t xml:space="preserve">MILRURLOC</t>
  </si>
  <si>
    <t xml:space="preserve">MILRURTOT</t>
  </si>
  <si>
    <t xml:space="preserve">MILURBINT</t>
  </si>
  <si>
    <t xml:space="preserve">MILURBFWY</t>
  </si>
  <si>
    <t xml:space="preserve">MILURBLOC</t>
  </si>
  <si>
    <t xml:space="preserve">MILURBTOT</t>
  </si>
  <si>
    <t xml:space="preserve">MILTOTTOT</t>
  </si>
  <si>
    <t xml:space="preserve">URBMIL+4</t>
  </si>
  <si>
    <t xml:space="preserve">URBMIL-4</t>
  </si>
  <si>
    <t xml:space="preserve">RURMIL+4</t>
  </si>
  <si>
    <t xml:space="preserve">RURMIL-4</t>
  </si>
  <si>
    <t xml:space="preserve">RURPASSVEH</t>
  </si>
  <si>
    <t xml:space="preserve">RURTRUSING</t>
  </si>
  <si>
    <t xml:space="preserve">RURTRUCOM</t>
  </si>
  <si>
    <t xml:space="preserve">URBPASSVEH</t>
  </si>
  <si>
    <t xml:space="preserve">URBTRUSING</t>
  </si>
  <si>
    <t xml:space="preserve">URBTRUCOMB</t>
  </si>
  <si>
    <t xml:space="preserve">NEWYORK</t>
  </si>
  <si>
    <t xml:space="preserve">SOUTHEAST</t>
  </si>
  <si>
    <t xml:space="preserve">MIDWEST</t>
  </si>
  <si>
    <t xml:space="preserve">NORTHEAST</t>
  </si>
  <si>
    <t xml:space="preserve">VMTRURINT</t>
  </si>
  <si>
    <t xml:space="preserve">VMTRURLOC</t>
  </si>
  <si>
    <t xml:space="preserve">VMTRURTOT</t>
  </si>
  <si>
    <t xml:space="preserve">VMTURBINT</t>
  </si>
  <si>
    <t xml:space="preserve">VMTURBFWY</t>
  </si>
  <si>
    <t xml:space="preserve">VMTURBLOC</t>
  </si>
  <si>
    <t xml:space="preserve">VMTURBTOT</t>
  </si>
  <si>
    <t xml:space="preserve">CSTADMHWY</t>
  </si>
  <si>
    <t xml:space="preserve">CLOCADMRD</t>
  </si>
  <si>
    <t xml:space="preserve">CFEDROAD</t>
  </si>
  <si>
    <t xml:space="preserve">CTOTAL</t>
  </si>
  <si>
    <t xml:space="preserve">MSTADMHWY</t>
  </si>
  <si>
    <t xml:space="preserve">MLOCADMRD</t>
  </si>
  <si>
    <t xml:space="preserve">MREDROAD</t>
  </si>
  <si>
    <t xml:space="preserve">MTOTAL</t>
  </si>
  <si>
    <t xml:space="preserve">ADM_MISC</t>
  </si>
  <si>
    <t xml:space="preserve">LAW_SAFETY</t>
  </si>
  <si>
    <t xml:space="preserve">INTEREST</t>
  </si>
  <si>
    <t xml:space="preserve">BONDRETIRE</t>
  </si>
  <si>
    <t xml:space="preserve">TOTALDISB</t>
  </si>
  <si>
    <t xml:space="preserve">"NA</t>
  </si>
  <si>
    <t xml:space="preserve">STATE HIGHWAY AGENCY CAPITAL OUTLAY AND MAINTENANCE - 1993, Table SF-12 p.IV-67-64</t>
  </si>
  <si>
    <t xml:space="preserve">(thousands of dollars)</t>
  </si>
  <si>
    <t xml:space="preserve">CAPITAL</t>
  </si>
  <si>
    <t xml:space="preserve">MAINTENANCE</t>
  </si>
  <si>
    <t xml:space="preserve">URBAN</t>
  </si>
  <si>
    <t xml:space="preserve">INTERSTATE</t>
  </si>
  <si>
    <t xml:space="preserve">LOCAL</t>
  </si>
  <si>
    <t xml:space="preserve">TOTAL</t>
  </si>
  <si>
    <t xml:space="preserve">STATE HIGHWAY AGENCY CAPITAL OUTLAY AND MAINTENANCE - 1993, Table SF-12 p.IV-67</t>
  </si>
  <si>
    <t xml:space="preserve">TOTAL (RUR+URB)</t>
  </si>
  <si>
    <t xml:space="preserve">LRTE-model</t>
  </si>
  <si>
    <t xml:space="preserve">SRTE-model</t>
  </si>
  <si>
    <t xml:space="preserve">LRMC-Auto ($/mi)</t>
  </si>
  <si>
    <t xml:space="preserve">LRMC-Comb</t>
  </si>
  <si>
    <t xml:space="preserve">LRMC-Sing</t>
  </si>
  <si>
    <t xml:space="preserve">LRMC-Truck</t>
  </si>
  <si>
    <t xml:space="preserve">SRMC-Auto</t>
  </si>
  <si>
    <t xml:space="preserve">SRMC-Comb</t>
  </si>
  <si>
    <t xml:space="preserve">SRMC-Sing</t>
  </si>
  <si>
    <t xml:space="preserve">SRMC-Truck</t>
  </si>
  <si>
    <t xml:space="preserve">LRTE = 71,682 Nl 0.183 Nw -0.643 Pk 1.92 Pl  1.176 Pm 0.0445 Ya 0.450 Yc 0.103 Ys 0.149</t>
  </si>
  <si>
    <t xml:space="preserve">SRTE = 73.99 Nl 0.126 Nw -0.326 Pk 0.473 Pl  0.605 Pm -0.0271 Ya 0.685 Yc 0.00271 Ys 0.193</t>
  </si>
  <si>
    <t xml:space="preserve">Nl</t>
  </si>
  <si>
    <t xml:space="preserve">Nw</t>
  </si>
  <si>
    <t xml:space="preserve">Pk</t>
  </si>
  <si>
    <t xml:space="preserve">Pm</t>
  </si>
  <si>
    <t xml:space="preserve">Ya</t>
  </si>
  <si>
    <t xml:space="preserve">Yc</t>
  </si>
  <si>
    <t xml:space="preserve">Ys</t>
  </si>
  <si>
    <t xml:space="preserve"> </t>
  </si>
  <si>
    <t xml:space="preserve">L - Total Miles</t>
  </si>
  <si>
    <t xml:space="preserve">L - % Freeway</t>
  </si>
  <si>
    <t xml:space="preserve">L - % Urban</t>
  </si>
  <si>
    <t xml:space="preserve">W - % UrbFwy &gt; 4 lanes</t>
  </si>
  <si>
    <t xml:space="preserve">W - % RurFwy &gt; 4 lanes</t>
  </si>
  <si>
    <t xml:space="preserve">Ya Auto VMT (millions)</t>
  </si>
  <si>
    <t xml:space="preserve">Ys Single Truck VMT (Millions)</t>
  </si>
  <si>
    <t xml:space="preserve">Yc Combination Truck VMT (millions)</t>
  </si>
  <si>
    <t xml:space="preserve">%URBAN</t>
  </si>
  <si>
    <t xml:space="preserve">%FREEWAY</t>
  </si>
  <si>
    <t xml:space="preserve">Iowa (*)</t>
  </si>
  <si>
    <t xml:space="preserve">Minnesota (*)</t>
  </si>
  <si>
    <t xml:space="preserve">Nevada (*)</t>
  </si>
  <si>
    <t xml:space="preserve">Oklahoma </t>
  </si>
  <si>
    <t xml:space="preserve">(*) adjust sing truck &amp; cars (move 10% cars --&gt; sing)</t>
  </si>
  <si>
    <t xml:space="preserve">DISTRIBUTION OF ANNUAL VEHICLE MILES BY VEHICLE TYPE - 1993 VM-4 p v121, v124</t>
  </si>
  <si>
    <t xml:space="preserve">RURAL</t>
  </si>
  <si>
    <t xml:space="preserve">TRUCK-SING</t>
  </si>
  <si>
    <t xml:space="preserve">TRUCK-COMB</t>
  </si>
  <si>
    <t xml:space="preserve">Oklahoma (KS)</t>
  </si>
  <si>
    <t xml:space="preserve">MILEAGE BY TRAFFIC LANES ... (HM-35) p. V19</t>
  </si>
  <si>
    <t xml:space="preserve">MILES &gt; 4 lanes</t>
  </si>
  <si>
    <t xml:space="preserve">MILES ≤ 4 lanes</t>
  </si>
  <si>
    <t xml:space="preserve">PUBLIC ROAD AND STREET MILES (HM-20) p. V14</t>
  </si>
  <si>
    <t xml:space="preserve">RURAL </t>
  </si>
  <si>
    <t xml:space="preserve">OTHER </t>
  </si>
  <si>
    <t xml:space="preserve">FWY&amp;EXPWY</t>
  </si>
  <si>
    <t xml:space="preserve">STATE HIGHWAY AGENCY CAPITAL OUTLAY AND MAINTENANCE - 1993, Table SF-12 p.IV-64</t>
  </si>
  <si>
    <t xml:space="preserve">RURAL TOTAL</t>
  </si>
  <si>
    <t xml:space="preserve">NON-INTERSTATE</t>
  </si>
  <si>
    <t xml:space="preserve">ALASKA DUMMY</t>
  </si>
  <si>
    <t xml:space="preserve">NY DUMMY</t>
  </si>
  <si>
    <t xml:space="preserve">CA DUMMY</t>
  </si>
  <si>
    <t xml:space="preserve">SE DUMMY</t>
  </si>
  <si>
    <t xml:space="preserve">MIDWEST DUMMY</t>
  </si>
  <si>
    <t xml:space="preserve">NE DUMMY (incl NY)</t>
  </si>
  <si>
    <t xml:space="preserve">INTERSTATE + Other Freeways</t>
  </si>
  <si>
    <t xml:space="preserve">OPS &amp; MAINT</t>
  </si>
  <si>
    <t xml:space="preserve">RURTOT</t>
  </si>
  <si>
    <t xml:space="preserve">URBTOT</t>
  </si>
  <si>
    <t xml:space="preserve">RURINT</t>
  </si>
  <si>
    <t xml:space="preserve">RURLOC</t>
  </si>
  <si>
    <t xml:space="preserve">URBINT</t>
  </si>
  <si>
    <t xml:space="preserve">URBLOC</t>
  </si>
  <si>
    <t xml:space="preserve">INTTOT</t>
  </si>
  <si>
    <t xml:space="preserve">%URBINT</t>
  </si>
  <si>
    <t xml:space="preserve">LOCTOT</t>
  </si>
  <si>
    <t xml:space="preserve">%URBLOC</t>
  </si>
  <si>
    <t xml:space="preserve">TOTVMT</t>
  </si>
  <si>
    <t xml:space="preserve">OPSTOT</t>
  </si>
  <si>
    <t xml:space="preserve">TOT%URB</t>
  </si>
  <si>
    <t xml:space="preserve">Source: Table VM2, pV-117 Annual Vehicle Miles of Travel 1992 Revised</t>
  </si>
  <si>
    <t xml:space="preserve">1993 Highway Statistics (FHWA PL-94-023)</t>
  </si>
  <si>
    <t xml:space="preserve">VMT 1992 (millions)</t>
  </si>
  <si>
    <t xml:space="preserve">OTHER FWY</t>
  </si>
  <si>
    <t xml:space="preserve">TOTAL  DISBURSEMENTS  FOR  HIGHWAYS,  ALL  UNITS  OF  GOVERNMENT  -  1992  /1</t>
  </si>
  <si>
    <t xml:space="preserve">COMPILED  FROM  REPORTS  OF  FEDERAL,</t>
  </si>
  <si>
    <t xml:space="preserve">"TABLE  HF-2</t>
  </si>
  <si>
    <t xml:space="preserve">STATE  AND  LOCAL  AUTHORITIES</t>
  </si>
  <si>
    <t xml:space="preserve">(THOUSANDS  OF  DOLLARS)</t>
  </si>
  <si>
    <t xml:space="preserve">"SEPTEMBER 1994</t>
  </si>
  <si>
    <t xml:space="preserve">CAPITAL  OUTLAY</t>
  </si>
  <si>
    <t xml:space="preserve">MAINTENANCE AND SERVICES</t>
  </si>
  <si>
    <t xml:space="preserve">ADMIN-</t>
  </si>
  <si>
    <t xml:space="preserve">ISTRATION</t>
  </si>
  <si>
    <t xml:space="preserve">LAW</t>
  </si>
  <si>
    <t xml:space="preserve">BOND</t>
  </si>
  <si>
    <t xml:space="preserve">LOCALLY</t>
  </si>
  <si>
    <t xml:space="preserve">FEDERAL</t>
  </si>
  <si>
    <t xml:space="preserve">AND</t>
  </si>
  <si>
    <t xml:space="preserve">ENFORCEMENT</t>
  </si>
  <si>
    <t xml:space="preserve">RETIREMENT /3</t>
  </si>
  <si>
    <t xml:space="preserve">ADMINISTERED</t>
  </si>
  <si>
    <t xml:space="preserve">ROADS AND</t>
  </si>
  <si>
    <t xml:space="preserve">TOTAL  /2</t>
  </si>
  <si>
    <t xml:space="preserve">MISCEL-</t>
  </si>
  <si>
    <t xml:space="preserve">DISBURSEMENTS</t>
  </si>
  <si>
    <t xml:space="preserve">HIGHWAYS</t>
  </si>
  <si>
    <t xml:space="preserve">ROADS</t>
  </si>
  <si>
    <t xml:space="preserve">UNCLASSIFIED</t>
  </si>
  <si>
    <t xml:space="preserve">LANEOUS</t>
  </si>
  <si>
    <t xml:space="preserve">SAFETY</t>
  </si>
  <si>
    <t xml:space="preserve">      /1 Disbursements are classified by system on which expended, rather than by expending</t>
  </si>
  <si>
    <t xml:space="preserve">agencies, e.g., capital outlay on local rural roads includes expenditures from Federal, State</t>
  </si>
  <si>
    <t xml:space="preserve">       /2  See Tables FA-5A, SF-4C and LGF-2 for right-of-way costs.</t>
  </si>
  <si>
    <t xml:space="preserve">and local funds.  Data includes estimates.  See Tables FA-5A, SF-21, and LGF-21 for details on</t>
  </si>
  <si>
    <t xml:space="preserve">       /3  Excludes short-term notes and refunding bond issues.</t>
  </si>
  <si>
    <t xml:space="preserve">highway disbursements by each level of government.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</si>
</sst>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"/>
    <numFmt numFmtId="167" formatCode="0.0000"/>
    <numFmt numFmtId="168" formatCode="0.000"/>
    <numFmt numFmtId="169" formatCode="0.00"/>
    <numFmt numFmtId="170" formatCode="0.0"/>
  </numFmts>
  <fonts count="12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sz val="9"/>
      <color rgb="FFFFFFFF"/>
      <name val="Geneva"/>
      <family val="2"/>
    </font>
    <font>
      <b val="true"/>
      <sz val="14"/>
      <color rgb="FF000000"/>
      <name val="Geneva"/>
      <family val="2"/>
    </font>
    <font>
      <sz val="10"/>
      <name val="Arial"/>
      <family val="2"/>
    </font>
    <font>
      <b val="true"/>
      <sz val="10"/>
      <color rgb="FF000000"/>
      <name val="Geneva"/>
      <family val="2"/>
    </font>
    <font>
      <sz val="10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5396A"/>
      <rgbColor rgb="FFFFFFC0"/>
      <rgbColor rgb="FFA0E0E0"/>
      <rgbColor rgb="FF600080"/>
      <rgbColor rgb="FFA0627A"/>
      <rgbColor rgb="FF0066CC"/>
      <rgbColor rgb="FFE3E3E3"/>
      <rgbColor rgb="FF000080"/>
      <rgbColor rgb="FFFF00FF"/>
      <rgbColor rgb="FFFFFF00"/>
      <rgbColor rgb="FF00FFFF"/>
      <rgbColor rgb="FF800080"/>
      <rgbColor rgb="FFDD0806"/>
      <rgbColor rgb="FF286676"/>
      <rgbColor rgb="FF0000FF"/>
      <rgbColor rgb="FF00CFFF"/>
      <rgbColor rgb="FF69FFFF"/>
      <rgbColor rgb="FFE0FFE0"/>
      <rgbColor rgb="FFFFFF80"/>
      <rgbColor rgb="FFA6CAF0"/>
      <rgbColor rgb="FFDD9CB3"/>
      <rgbColor rgb="FFB38FEE"/>
      <rgbColor rgb="FFFFCC99"/>
      <rgbColor rgb="FF2A6FF9"/>
      <rgbColor rgb="FF3FB8CD"/>
      <rgbColor rgb="FF958C41"/>
      <rgbColor rgb="FFFFCC00"/>
      <rgbColor rgb="FFFF9900"/>
      <rgbColor rgb="FFFF6600"/>
      <rgbColor rgb="FF624FAC"/>
      <rgbColor rgb="FF969696"/>
      <rgbColor rgb="FF1D2FBE"/>
      <rgbColor rgb="FF488436"/>
      <rgbColor rgb="FF004500"/>
      <rgbColor rgb="FF453E01"/>
      <rgbColor rgb="FF6A2813"/>
      <rgbColor rgb="FF802060"/>
      <rgbColor rgb="FF4A3285"/>
      <rgbColor rgb="FF8E5E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Long Run Total Expenditure: Model vs. Observed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80106571936057"/>
          <c:y val="0.158002991772625"/>
          <c:w val="0.878792184724689"/>
          <c:h val="0.7764584891548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'LRTE.SRTE'!$C$1</c:f>
              <c:strCache>
                <c:ptCount val="1"/>
                <c:pt idx="0">
                  <c:v>LRTE-model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'LRTE.SRTE'!$B$2:$B$52</c:f>
              <c:numCache>
                <c:formatCode>General</c:formatCode>
                <c:ptCount val="51"/>
                <c:pt idx="0">
                  <c:v>838159.732</c:v>
                </c:pt>
                <c:pt idx="1">
                  <c:v>103604</c:v>
                </c:pt>
                <c:pt idx="2">
                  <c:v>718978.26</c:v>
                </c:pt>
                <c:pt idx="3">
                  <c:v>479553.448</c:v>
                </c:pt>
                <c:pt idx="4">
                  <c:v>5321960.964</c:v>
                </c:pt>
                <c:pt idx="5">
                  <c:v>688811.57</c:v>
                </c:pt>
                <c:pt idx="6">
                  <c:v>589285.678</c:v>
                </c:pt>
                <c:pt idx="7">
                  <c:v>241810.132</c:v>
                </c:pt>
                <c:pt idx="8">
                  <c:v>47669</c:v>
                </c:pt>
                <c:pt idx="9">
                  <c:v>2132756.22</c:v>
                </c:pt>
                <c:pt idx="10">
                  <c:v>1113409.56</c:v>
                </c:pt>
                <c:pt idx="11">
                  <c:v>70059</c:v>
                </c:pt>
                <c:pt idx="12">
                  <c:v>269425.34</c:v>
                </c:pt>
                <c:pt idx="13">
                  <c:v>2494676.878</c:v>
                </c:pt>
                <c:pt idx="14">
                  <c:v>1102127.36</c:v>
                </c:pt>
                <c:pt idx="15">
                  <c:v>884553.28</c:v>
                </c:pt>
                <c:pt idx="16">
                  <c:v>1030789.71</c:v>
                </c:pt>
                <c:pt idx="17">
                  <c:v>0</c:v>
                </c:pt>
                <c:pt idx="18">
                  <c:v>1243192.932</c:v>
                </c:pt>
                <c:pt idx="19">
                  <c:v>293390.23</c:v>
                </c:pt>
                <c:pt idx="20">
                  <c:v>1041502.14</c:v>
                </c:pt>
                <c:pt idx="21">
                  <c:v>0</c:v>
                </c:pt>
                <c:pt idx="22">
                  <c:v>1708469.162</c:v>
                </c:pt>
                <c:pt idx="23">
                  <c:v>1222271.538</c:v>
                </c:pt>
                <c:pt idx="24">
                  <c:v>550037.388</c:v>
                </c:pt>
                <c:pt idx="25">
                  <c:v>1112379.19</c:v>
                </c:pt>
                <c:pt idx="26">
                  <c:v>312090.338</c:v>
                </c:pt>
                <c:pt idx="27">
                  <c:v>464939.45</c:v>
                </c:pt>
                <c:pt idx="28">
                  <c:v>0</c:v>
                </c:pt>
                <c:pt idx="29">
                  <c:v>348865.622</c:v>
                </c:pt>
                <c:pt idx="30">
                  <c:v>1748217.6</c:v>
                </c:pt>
                <c:pt idx="31">
                  <c:v>404863.224</c:v>
                </c:pt>
                <c:pt idx="32">
                  <c:v>3679098.456</c:v>
                </c:pt>
                <c:pt idx="33">
                  <c:v>1304284.15</c:v>
                </c:pt>
                <c:pt idx="34">
                  <c:v>259286.74</c:v>
                </c:pt>
                <c:pt idx="35">
                  <c:v>2414702.53</c:v>
                </c:pt>
                <c:pt idx="36">
                  <c:v>732255.964</c:v>
                </c:pt>
                <c:pt idx="37">
                  <c:v>697221.478</c:v>
                </c:pt>
                <c:pt idx="38">
                  <c:v>2674559.19</c:v>
                </c:pt>
                <c:pt idx="39">
                  <c:v>192876.138</c:v>
                </c:pt>
                <c:pt idx="40">
                  <c:v>538620.01</c:v>
                </c:pt>
                <c:pt idx="41">
                  <c:v>287239.62</c:v>
                </c:pt>
                <c:pt idx="42">
                  <c:v>956715.94</c:v>
                </c:pt>
                <c:pt idx="43">
                  <c:v>4206402.996</c:v>
                </c:pt>
                <c:pt idx="44">
                  <c:v>378172.36</c:v>
                </c:pt>
                <c:pt idx="45">
                  <c:v>158338.898</c:v>
                </c:pt>
                <c:pt idx="46">
                  <c:v>1591538.04</c:v>
                </c:pt>
                <c:pt idx="47">
                  <c:v>1227056.05</c:v>
                </c:pt>
                <c:pt idx="48">
                  <c:v>700326.254</c:v>
                </c:pt>
                <c:pt idx="49">
                  <c:v>1141937.082</c:v>
                </c:pt>
                <c:pt idx="50">
                  <c:v>303554.8</c:v>
                </c:pt>
              </c:numCache>
            </c:numRef>
          </c:xVal>
          <c:yVal>
            <c:numRef>
              <c:f>'LRTE.SRTE'!$C$2:$C$52</c:f>
              <c:numCache>
                <c:formatCode>General</c:formatCode>
                <c:ptCount val="51"/>
                <c:pt idx="0">
                  <c:v>881513.898536862</c:v>
                </c:pt>
                <c:pt idx="1">
                  <c:v>134812.025315494</c:v>
                </c:pt>
                <c:pt idx="2">
                  <c:v>643881.582523385</c:v>
                </c:pt>
                <c:pt idx="3">
                  <c:v>472258.63898235</c:v>
                </c:pt>
                <c:pt idx="4">
                  <c:v>4425388.92899159</c:v>
                </c:pt>
                <c:pt idx="5">
                  <c:v>663399.430388643</c:v>
                </c:pt>
                <c:pt idx="6">
                  <c:v>611174.370161849</c:v>
                </c:pt>
                <c:pt idx="7">
                  <c:v>140883.489343661</c:v>
                </c:pt>
                <c:pt idx="8">
                  <c:v>72760.7321577327</c:v>
                </c:pt>
                <c:pt idx="9">
                  <c:v>1821068.83207458</c:v>
                </c:pt>
                <c:pt idx="10">
                  <c:v>1080117.42955311</c:v>
                </c:pt>
                <c:pt idx="11">
                  <c:v>123555.589680717</c:v>
                </c:pt>
                <c:pt idx="12">
                  <c:v>250721.106862923</c:v>
                </c:pt>
                <c:pt idx="13">
                  <c:v>1930281.17814765</c:v>
                </c:pt>
                <c:pt idx="14">
                  <c:v>1074752.7044929</c:v>
                </c:pt>
                <c:pt idx="15">
                  <c:v>575051.748780226</c:v>
                </c:pt>
                <c:pt idx="16">
                  <c:v>549123.903764134</c:v>
                </c:pt>
                <c:pt idx="17">
                  <c:v>0</c:v>
                </c:pt>
                <c:pt idx="18">
                  <c:v>739096.432908557</c:v>
                </c:pt>
                <c:pt idx="19">
                  <c:v>246099.058447779</c:v>
                </c:pt>
                <c:pt idx="20">
                  <c:v>711625.760768121</c:v>
                </c:pt>
                <c:pt idx="21">
                  <c:v>0</c:v>
                </c:pt>
                <c:pt idx="22">
                  <c:v>1785085.12253216</c:v>
                </c:pt>
                <c:pt idx="23">
                  <c:v>850297.755277479</c:v>
                </c:pt>
                <c:pt idx="24">
                  <c:v>460551.682296221</c:v>
                </c:pt>
                <c:pt idx="25">
                  <c:v>858085.758567996</c:v>
                </c:pt>
                <c:pt idx="26">
                  <c:v>229932.276680914</c:v>
                </c:pt>
                <c:pt idx="27">
                  <c:v>367071.299085674</c:v>
                </c:pt>
                <c:pt idx="28">
                  <c:v>0</c:v>
                </c:pt>
                <c:pt idx="29">
                  <c:v>197956.549161395</c:v>
                </c:pt>
                <c:pt idx="30">
                  <c:v>1168358.36829177</c:v>
                </c:pt>
                <c:pt idx="31">
                  <c:v>398410.02541026</c:v>
                </c:pt>
                <c:pt idx="32">
                  <c:v>2593031.36178964</c:v>
                </c:pt>
                <c:pt idx="33">
                  <c:v>966157.750903315</c:v>
                </c:pt>
                <c:pt idx="34">
                  <c:v>180291.734010651</c:v>
                </c:pt>
                <c:pt idx="35">
                  <c:v>1636116.31542205</c:v>
                </c:pt>
                <c:pt idx="36">
                  <c:v>675634.855707051</c:v>
                </c:pt>
                <c:pt idx="37">
                  <c:v>674138.632373655</c:v>
                </c:pt>
                <c:pt idx="38">
                  <c:v>1944466.49078365</c:v>
                </c:pt>
                <c:pt idx="39">
                  <c:v>192367.150479023</c:v>
                </c:pt>
                <c:pt idx="40">
                  <c:v>552938.139271981</c:v>
                </c:pt>
                <c:pt idx="41">
                  <c:v>190552.134804495</c:v>
                </c:pt>
                <c:pt idx="42">
                  <c:v>769924.716570436</c:v>
                </c:pt>
                <c:pt idx="43">
                  <c:v>2592128.32838554</c:v>
                </c:pt>
                <c:pt idx="44">
                  <c:v>288850.026129854</c:v>
                </c:pt>
                <c:pt idx="45">
                  <c:v>135031.486835952</c:v>
                </c:pt>
                <c:pt idx="46">
                  <c:v>1022377.50918395</c:v>
                </c:pt>
                <c:pt idx="47">
                  <c:v>1011540.38431155</c:v>
                </c:pt>
                <c:pt idx="48">
                  <c:v>359180.036594688</c:v>
                </c:pt>
                <c:pt idx="49">
                  <c:v>896127.856124004</c:v>
                </c:pt>
                <c:pt idx="50">
                  <c:v>163048.439339805</c:v>
                </c:pt>
              </c:numCache>
            </c:numRef>
          </c:yVal>
          <c:smooth val="0"/>
        </c:ser>
        <c:axId val="20487427"/>
        <c:axId val="86729383"/>
      </c:scatterChart>
      <c:valAx>
        <c:axId val="204874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Observed LRTE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6729383"/>
        <c:crossesAt val="0"/>
        <c:crossBetween val="midCat"/>
      </c:valAx>
      <c:valAx>
        <c:axId val="86729383"/>
        <c:scaling>
          <c:orientation val="minMax"/>
          <c:max val="60000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Modeled LRTE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048742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22735346358792"/>
          <c:y val="0.27430815258040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Short Run Total Expenditures: Modeled vs. Observed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32227330268506"/>
          <c:y val="0.225880201188843"/>
          <c:w val="0.917582783663136"/>
          <c:h val="0.710196616369456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'LRTE.SRTE'!$F$2:$F$52</c:f>
              <c:numCache>
                <c:formatCode>General</c:formatCode>
                <c:ptCount val="51"/>
                <c:pt idx="0">
                  <c:v>287785</c:v>
                </c:pt>
                <c:pt idx="1">
                  <c:v>103604</c:v>
                </c:pt>
                <c:pt idx="2">
                  <c:v>217812</c:v>
                </c:pt>
                <c:pt idx="3">
                  <c:v>181099</c:v>
                </c:pt>
                <c:pt idx="4">
                  <c:v>2571927</c:v>
                </c:pt>
                <c:pt idx="5">
                  <c:v>274625</c:v>
                </c:pt>
                <c:pt idx="6">
                  <c:v>142057</c:v>
                </c:pt>
                <c:pt idx="7">
                  <c:v>116311</c:v>
                </c:pt>
                <c:pt idx="8">
                  <c:v>47669</c:v>
                </c:pt>
                <c:pt idx="9">
                  <c:v>897504</c:v>
                </c:pt>
                <c:pt idx="10">
                  <c:v>404325</c:v>
                </c:pt>
                <c:pt idx="11">
                  <c:v>70059</c:v>
                </c:pt>
                <c:pt idx="12">
                  <c:v>79784</c:v>
                </c:pt>
                <c:pt idx="13">
                  <c:v>643432</c:v>
                </c:pt>
                <c:pt idx="14">
                  <c:v>427163</c:v>
                </c:pt>
                <c:pt idx="15">
                  <c:v>220813</c:v>
                </c:pt>
                <c:pt idx="16">
                  <c:v>547758</c:v>
                </c:pt>
                <c:pt idx="17">
                  <c:v>0</c:v>
                </c:pt>
                <c:pt idx="18">
                  <c:v>274125</c:v>
                </c:pt>
                <c:pt idx="19">
                  <c:v>135964</c:v>
                </c:pt>
                <c:pt idx="20">
                  <c:v>370725</c:v>
                </c:pt>
                <c:pt idx="21">
                  <c:v>0</c:v>
                </c:pt>
                <c:pt idx="22">
                  <c:v>501791</c:v>
                </c:pt>
                <c:pt idx="23">
                  <c:v>425256</c:v>
                </c:pt>
                <c:pt idx="24">
                  <c:v>135813</c:v>
                </c:pt>
                <c:pt idx="25">
                  <c:v>457183</c:v>
                </c:pt>
                <c:pt idx="26">
                  <c:v>54668</c:v>
                </c:pt>
                <c:pt idx="27">
                  <c:v>123281</c:v>
                </c:pt>
                <c:pt idx="28">
                  <c:v>0</c:v>
                </c:pt>
                <c:pt idx="29">
                  <c:v>200435</c:v>
                </c:pt>
                <c:pt idx="30">
                  <c:v>832923</c:v>
                </c:pt>
                <c:pt idx="31">
                  <c:v>144159</c:v>
                </c:pt>
                <c:pt idx="32">
                  <c:v>1187382</c:v>
                </c:pt>
                <c:pt idx="33">
                  <c:v>714964</c:v>
                </c:pt>
                <c:pt idx="34">
                  <c:v>65896</c:v>
                </c:pt>
                <c:pt idx="35">
                  <c:v>947827</c:v>
                </c:pt>
                <c:pt idx="36">
                  <c:v>318259</c:v>
                </c:pt>
                <c:pt idx="37">
                  <c:v>274651</c:v>
                </c:pt>
                <c:pt idx="38">
                  <c:v>1120473</c:v>
                </c:pt>
                <c:pt idx="39">
                  <c:v>65703</c:v>
                </c:pt>
                <c:pt idx="40">
                  <c:v>266278</c:v>
                </c:pt>
                <c:pt idx="41">
                  <c:v>83892</c:v>
                </c:pt>
                <c:pt idx="42">
                  <c:v>323422</c:v>
                </c:pt>
                <c:pt idx="43">
                  <c:v>1937217</c:v>
                </c:pt>
                <c:pt idx="44">
                  <c:v>132076</c:v>
                </c:pt>
                <c:pt idx="45">
                  <c:v>45887</c:v>
                </c:pt>
                <c:pt idx="46">
                  <c:v>740430</c:v>
                </c:pt>
                <c:pt idx="47">
                  <c:v>476665</c:v>
                </c:pt>
                <c:pt idx="48">
                  <c:v>214790</c:v>
                </c:pt>
                <c:pt idx="49">
                  <c:v>463281</c:v>
                </c:pt>
                <c:pt idx="50">
                  <c:v>78544</c:v>
                </c:pt>
              </c:numCache>
            </c:numRef>
          </c:xVal>
          <c:yVal>
            <c:numRef>
              <c:f>'LRTE.SRTE'!$G$2:$G$52</c:f>
              <c:numCache>
                <c:formatCode>General</c:formatCode>
                <c:ptCount val="51"/>
                <c:pt idx="0">
                  <c:v>347370.626117842</c:v>
                </c:pt>
                <c:pt idx="1">
                  <c:v>25683.7952811081</c:v>
                </c:pt>
                <c:pt idx="2">
                  <c:v>218321.980698903</c:v>
                </c:pt>
                <c:pt idx="3">
                  <c:v>176551.296582179</c:v>
                </c:pt>
                <c:pt idx="4">
                  <c:v>1891712.4135725</c:v>
                </c:pt>
                <c:pt idx="5">
                  <c:v>264118.462061716</c:v>
                </c:pt>
                <c:pt idx="6">
                  <c:v>198049.691516518</c:v>
                </c:pt>
                <c:pt idx="7">
                  <c:v>45320.6502320694</c:v>
                </c:pt>
                <c:pt idx="8">
                  <c:v>17107.0503705828</c:v>
                </c:pt>
                <c:pt idx="9">
                  <c:v>857075.431609189</c:v>
                </c:pt>
                <c:pt idx="10">
                  <c:v>493401.957939438</c:v>
                </c:pt>
                <c:pt idx="11">
                  <c:v>32307.0988765933</c:v>
                </c:pt>
                <c:pt idx="12">
                  <c:v>72335.3862337405</c:v>
                </c:pt>
                <c:pt idx="13">
                  <c:v>722687.303549194</c:v>
                </c:pt>
                <c:pt idx="14">
                  <c:v>425576.571614933</c:v>
                </c:pt>
                <c:pt idx="15">
                  <c:v>203385.361054367</c:v>
                </c:pt>
                <c:pt idx="16">
                  <c:v>184929.45534213</c:v>
                </c:pt>
                <c:pt idx="17">
                  <c:v>0</c:v>
                </c:pt>
                <c:pt idx="18">
                  <c:v>223391.022251628</c:v>
                </c:pt>
                <c:pt idx="19">
                  <c:v>78096.0597193203</c:v>
                </c:pt>
                <c:pt idx="20">
                  <c:v>255442.585936409</c:v>
                </c:pt>
                <c:pt idx="21">
                  <c:v>0</c:v>
                </c:pt>
                <c:pt idx="22">
                  <c:v>637566.48122105</c:v>
                </c:pt>
                <c:pt idx="23">
                  <c:v>335977.090976432</c:v>
                </c:pt>
                <c:pt idx="24">
                  <c:v>181606.956995493</c:v>
                </c:pt>
                <c:pt idx="25">
                  <c:v>399719.23676272</c:v>
                </c:pt>
                <c:pt idx="26">
                  <c:v>63267.0720874331</c:v>
                </c:pt>
                <c:pt idx="27">
                  <c:v>112055.5271858</c:v>
                </c:pt>
                <c:pt idx="28">
                  <c:v>0</c:v>
                </c:pt>
                <c:pt idx="29">
                  <c:v>58698.9276689407</c:v>
                </c:pt>
                <c:pt idx="30">
                  <c:v>435311.79434255</c:v>
                </c:pt>
                <c:pt idx="31">
                  <c:v>146668.202079107</c:v>
                </c:pt>
                <c:pt idx="32">
                  <c:v>878726.554549205</c:v>
                </c:pt>
                <c:pt idx="33">
                  <c:v>489951.545372287</c:v>
                </c:pt>
                <c:pt idx="34">
                  <c:v>49060.3613693294</c:v>
                </c:pt>
                <c:pt idx="35">
                  <c:v>728014.228802221</c:v>
                </c:pt>
                <c:pt idx="36">
                  <c:v>248499.619296201</c:v>
                </c:pt>
                <c:pt idx="37">
                  <c:v>204296.644036838</c:v>
                </c:pt>
                <c:pt idx="38">
                  <c:v>718430.2087605</c:v>
                </c:pt>
                <c:pt idx="39">
                  <c:v>53552.3895449047</c:v>
                </c:pt>
                <c:pt idx="40">
                  <c:v>257050.224160353</c:v>
                </c:pt>
                <c:pt idx="41">
                  <c:v>59982.5667937487</c:v>
                </c:pt>
                <c:pt idx="42">
                  <c:v>348301.325844003</c:v>
                </c:pt>
                <c:pt idx="43">
                  <c:v>1144072.28732436</c:v>
                </c:pt>
                <c:pt idx="44">
                  <c:v>109268.932667913</c:v>
                </c:pt>
                <c:pt idx="45">
                  <c:v>40224.2747398911</c:v>
                </c:pt>
                <c:pt idx="46">
                  <c:v>446983.885313884</c:v>
                </c:pt>
                <c:pt idx="47">
                  <c:v>337523.921028047</c:v>
                </c:pt>
                <c:pt idx="48">
                  <c:v>124896.580941482</c:v>
                </c:pt>
                <c:pt idx="49">
                  <c:v>419435.922261597</c:v>
                </c:pt>
                <c:pt idx="50">
                  <c:v>43433.4978084538</c:v>
                </c:pt>
              </c:numCache>
            </c:numRef>
          </c:yVal>
          <c:smooth val="0"/>
        </c:ser>
        <c:axId val="51786560"/>
        <c:axId val="88029698"/>
      </c:scatterChart>
      <c:valAx>
        <c:axId val="51786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Observed SRTE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8029698"/>
        <c:crossesAt val="0"/>
        <c:crossBetween val="midCat"/>
      </c:valAx>
      <c:valAx>
        <c:axId val="88029698"/>
        <c:scaling>
          <c:orientation val="minMax"/>
          <c:max val="30000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Modeled SRTE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1786560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166566726630688"/>
          <c:y val="0.952354823959762"/>
          <c:w val="0.0211872876274235"/>
          <c:h val="0.022588020118884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FFFFFF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Maintenance Expenditures vs VMT: Rural Interstates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50563948321827"/>
          <c:y val="0.229649238914626"/>
          <c:w val="0.908537835805592"/>
          <c:h val="0.626926349626548"/>
        </c:manualLayout>
      </c:layout>
      <c:scatterChart>
        <c:scatterStyle val="lineMarker"/>
        <c:varyColors val="0"/>
        <c:ser>
          <c:idx val="0"/>
          <c:order val="0"/>
          <c:tx>
            <c:strRef>
              <c:f>RUR_EXP_93!$J$6</c:f>
              <c:strCache>
                <c:ptCount val="1"/>
                <c:pt idx="0">
                  <c:v>VMTRURINT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RUR_EXP_93!$I$7:$I$57</c:f>
              <c:numCache>
                <c:formatCode>General</c:formatCode>
                <c:ptCount val="51"/>
                <c:pt idx="0">
                  <c:v>7412</c:v>
                </c:pt>
                <c:pt idx="1">
                  <c:v>3744</c:v>
                </c:pt>
                <c:pt idx="3">
                  <c:v>7154</c:v>
                </c:pt>
                <c:pt idx="4">
                  <c:v>44901</c:v>
                </c:pt>
                <c:pt idx="5">
                  <c:v>18067</c:v>
                </c:pt>
                <c:pt idx="6">
                  <c:v>1366</c:v>
                </c:pt>
                <c:pt idx="7">
                  <c:v>0</c:v>
                </c:pt>
                <c:pt idx="8">
                  <c:v>0</c:v>
                </c:pt>
                <c:pt idx="9">
                  <c:v>8772</c:v>
                </c:pt>
                <c:pt idx="10">
                  <c:v>6110</c:v>
                </c:pt>
                <c:pt idx="11">
                  <c:v>700</c:v>
                </c:pt>
                <c:pt idx="12">
                  <c:v>2307</c:v>
                </c:pt>
                <c:pt idx="13">
                  <c:v>21476</c:v>
                </c:pt>
                <c:pt idx="14">
                  <c:v>38619</c:v>
                </c:pt>
                <c:pt idx="15">
                  <c:v>12509</c:v>
                </c:pt>
                <c:pt idx="16">
                  <c:v>17531</c:v>
                </c:pt>
                <c:pt idx="18">
                  <c:v>1136</c:v>
                </c:pt>
                <c:pt idx="19">
                  <c:v>18472</c:v>
                </c:pt>
                <c:pt idx="20">
                  <c:v>6588</c:v>
                </c:pt>
                <c:pt idx="22">
                  <c:v>13758</c:v>
                </c:pt>
                <c:pt idx="23">
                  <c:v>5342</c:v>
                </c:pt>
                <c:pt idx="24">
                  <c:v>3231</c:v>
                </c:pt>
                <c:pt idx="25">
                  <c:v>16829</c:v>
                </c:pt>
                <c:pt idx="26">
                  <c:v>3520</c:v>
                </c:pt>
                <c:pt idx="27">
                  <c:v>3277</c:v>
                </c:pt>
                <c:pt idx="29">
                  <c:v>3699</c:v>
                </c:pt>
                <c:pt idx="30">
                  <c:v>4801</c:v>
                </c:pt>
                <c:pt idx="32">
                  <c:v>104087</c:v>
                </c:pt>
                <c:pt idx="33">
                  <c:v>8739</c:v>
                </c:pt>
                <c:pt idx="34">
                  <c:v>3279</c:v>
                </c:pt>
                <c:pt idx="35">
                  <c:v>27324</c:v>
                </c:pt>
                <c:pt idx="36">
                  <c:v>3148</c:v>
                </c:pt>
                <c:pt idx="37">
                  <c:v>18564</c:v>
                </c:pt>
                <c:pt idx="38">
                  <c:v>43941</c:v>
                </c:pt>
                <c:pt idx="39">
                  <c:v>2051</c:v>
                </c:pt>
                <c:pt idx="40">
                  <c:v>0</c:v>
                </c:pt>
                <c:pt idx="41">
                  <c:v>5088</c:v>
                </c:pt>
                <c:pt idx="42">
                  <c:v>27008</c:v>
                </c:pt>
                <c:pt idx="43">
                  <c:v>162540</c:v>
                </c:pt>
                <c:pt idx="44">
                  <c:v>12500</c:v>
                </c:pt>
                <c:pt idx="45">
                  <c:v>1432</c:v>
                </c:pt>
                <c:pt idx="46">
                  <c:v>66071</c:v>
                </c:pt>
                <c:pt idx="47">
                  <c:v>7031</c:v>
                </c:pt>
                <c:pt idx="48">
                  <c:v>15215</c:v>
                </c:pt>
                <c:pt idx="49">
                  <c:v>4988</c:v>
                </c:pt>
                <c:pt idx="50">
                  <c:v>5815</c:v>
                </c:pt>
              </c:numCache>
            </c:numRef>
          </c:xVal>
          <c:yVal>
            <c:numRef>
              <c:f>RUR_EXP_93!$J$7:$J$57</c:f>
              <c:numCache>
                <c:formatCode>General</c:formatCode>
                <c:ptCount val="51"/>
                <c:pt idx="0">
                  <c:v>4442</c:v>
                </c:pt>
                <c:pt idx="1">
                  <c:v>677</c:v>
                </c:pt>
                <c:pt idx="2">
                  <c:v>5110</c:v>
                </c:pt>
                <c:pt idx="3">
                  <c:v>3140</c:v>
                </c:pt>
                <c:pt idx="4">
                  <c:v>14322</c:v>
                </c:pt>
                <c:pt idx="5">
                  <c:v>3661</c:v>
                </c:pt>
                <c:pt idx="6">
                  <c:v>1357</c:v>
                </c:pt>
                <c:pt idx="7">
                  <c:v>0</c:v>
                </c:pt>
                <c:pt idx="8">
                  <c:v>0</c:v>
                </c:pt>
                <c:pt idx="9">
                  <c:v>10183</c:v>
                </c:pt>
                <c:pt idx="10">
                  <c:v>8419</c:v>
                </c:pt>
                <c:pt idx="11">
                  <c:v>0</c:v>
                </c:pt>
                <c:pt idx="12">
                  <c:v>1667</c:v>
                </c:pt>
                <c:pt idx="13">
                  <c:v>8428</c:v>
                </c:pt>
                <c:pt idx="14">
                  <c:v>6646</c:v>
                </c:pt>
                <c:pt idx="15">
                  <c:v>3406</c:v>
                </c:pt>
                <c:pt idx="16">
                  <c:v>2573</c:v>
                </c:pt>
                <c:pt idx="17">
                  <c:v>4737</c:v>
                </c:pt>
                <c:pt idx="18">
                  <c:v>4197</c:v>
                </c:pt>
                <c:pt idx="19">
                  <c:v>1725</c:v>
                </c:pt>
                <c:pt idx="20">
                  <c:v>2913</c:v>
                </c:pt>
                <c:pt idx="21">
                  <c:v>2176</c:v>
                </c:pt>
                <c:pt idx="22">
                  <c:v>5614</c:v>
                </c:pt>
                <c:pt idx="23">
                  <c:v>3201</c:v>
                </c:pt>
                <c:pt idx="24">
                  <c:v>2951</c:v>
                </c:pt>
                <c:pt idx="25">
                  <c:v>5504</c:v>
                </c:pt>
                <c:pt idx="26">
                  <c:v>1928</c:v>
                </c:pt>
                <c:pt idx="27">
                  <c:v>1994</c:v>
                </c:pt>
                <c:pt idx="28">
                  <c:v>1522</c:v>
                </c:pt>
                <c:pt idx="29">
                  <c:v>1330</c:v>
                </c:pt>
                <c:pt idx="30">
                  <c:v>2124</c:v>
                </c:pt>
                <c:pt idx="31">
                  <c:v>3659</c:v>
                </c:pt>
                <c:pt idx="32">
                  <c:v>5381</c:v>
                </c:pt>
                <c:pt idx="33">
                  <c:v>6237</c:v>
                </c:pt>
                <c:pt idx="34">
                  <c:v>1012</c:v>
                </c:pt>
                <c:pt idx="35">
                  <c:v>8276</c:v>
                </c:pt>
                <c:pt idx="36">
                  <c:v>3705</c:v>
                </c:pt>
                <c:pt idx="37">
                  <c:v>3812</c:v>
                </c:pt>
                <c:pt idx="38">
                  <c:v>7381</c:v>
                </c:pt>
                <c:pt idx="39">
                  <c:v>278</c:v>
                </c:pt>
                <c:pt idx="40">
                  <c:v>5945</c:v>
                </c:pt>
                <c:pt idx="41">
                  <c:v>1354</c:v>
                </c:pt>
                <c:pt idx="42">
                  <c:v>6603</c:v>
                </c:pt>
                <c:pt idx="43">
                  <c:v>12612</c:v>
                </c:pt>
                <c:pt idx="44">
                  <c:v>2309</c:v>
                </c:pt>
                <c:pt idx="45">
                  <c:v>1011</c:v>
                </c:pt>
                <c:pt idx="46">
                  <c:v>7511</c:v>
                </c:pt>
                <c:pt idx="47">
                  <c:v>3563</c:v>
                </c:pt>
                <c:pt idx="48">
                  <c:v>2979</c:v>
                </c:pt>
                <c:pt idx="49">
                  <c:v>4236</c:v>
                </c:pt>
                <c:pt idx="50">
                  <c:v>1746</c:v>
                </c:pt>
              </c:numCache>
            </c:numRef>
          </c:yVal>
          <c:smooth val="0"/>
        </c:ser>
        <c:axId val="34927231"/>
        <c:axId val="84333357"/>
      </c:scatterChart>
      <c:valAx>
        <c:axId val="34927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Expenditures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4333357"/>
        <c:crossesAt val="0"/>
        <c:crossBetween val="midCat"/>
      </c:valAx>
      <c:valAx>
        <c:axId val="843333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VMT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4927231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90867455055028"/>
          <c:y val="0.9028079795783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Capital Expenditures vs. VMT: Rural Interstates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50238712317556"/>
          <c:y val="0.239321298214462"/>
          <c:w val="0.920406492975038"/>
          <c:h val="0.64565453289928"/>
        </c:manualLayout>
      </c:layout>
      <c:scatterChart>
        <c:scatterStyle val="lineMarker"/>
        <c:varyColors val="0"/>
        <c:ser>
          <c:idx val="0"/>
          <c:order val="0"/>
          <c:tx>
            <c:strRef>
              <c:f>RUR_EXP_93!$N$6</c:f>
              <c:strCache>
                <c:ptCount val="1"/>
                <c:pt idx="0">
                  <c:v>VMTRURINT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RUR_EXP_93!$M$7:$M$57</c:f>
              <c:numCache>
                <c:formatCode>General</c:formatCode>
                <c:ptCount val="51"/>
                <c:pt idx="0">
                  <c:v>29484</c:v>
                </c:pt>
                <c:pt idx="1">
                  <c:v>50659</c:v>
                </c:pt>
                <c:pt idx="2">
                  <c:v>66574</c:v>
                </c:pt>
                <c:pt idx="3">
                  <c:v>26357</c:v>
                </c:pt>
                <c:pt idx="4">
                  <c:v>61578</c:v>
                </c:pt>
                <c:pt idx="5">
                  <c:v>80658</c:v>
                </c:pt>
                <c:pt idx="6">
                  <c:v>30305</c:v>
                </c:pt>
                <c:pt idx="7">
                  <c:v>0</c:v>
                </c:pt>
                <c:pt idx="8">
                  <c:v>0</c:v>
                </c:pt>
                <c:pt idx="9">
                  <c:v>94234</c:v>
                </c:pt>
                <c:pt idx="10">
                  <c:v>56115</c:v>
                </c:pt>
                <c:pt idx="11">
                  <c:v>20447</c:v>
                </c:pt>
                <c:pt idx="12">
                  <c:v>41236</c:v>
                </c:pt>
                <c:pt idx="13">
                  <c:v>212843</c:v>
                </c:pt>
                <c:pt idx="14">
                  <c:v>130626</c:v>
                </c:pt>
                <c:pt idx="15">
                  <c:v>72276</c:v>
                </c:pt>
                <c:pt idx="16">
                  <c:v>34629</c:v>
                </c:pt>
                <c:pt idx="18">
                  <c:v>56281</c:v>
                </c:pt>
                <c:pt idx="19">
                  <c:v>22864</c:v>
                </c:pt>
                <c:pt idx="20">
                  <c:v>113671</c:v>
                </c:pt>
                <c:pt idx="22">
                  <c:v>71861</c:v>
                </c:pt>
                <c:pt idx="23">
                  <c:v>14920</c:v>
                </c:pt>
                <c:pt idx="24">
                  <c:v>33549</c:v>
                </c:pt>
                <c:pt idx="25">
                  <c:v>60904</c:v>
                </c:pt>
                <c:pt idx="26">
                  <c:v>33598</c:v>
                </c:pt>
                <c:pt idx="27">
                  <c:v>35102</c:v>
                </c:pt>
                <c:pt idx="29">
                  <c:v>39037</c:v>
                </c:pt>
                <c:pt idx="30">
                  <c:v>10398</c:v>
                </c:pt>
                <c:pt idx="31">
                  <c:v>63130</c:v>
                </c:pt>
                <c:pt idx="32">
                  <c:v>308954</c:v>
                </c:pt>
                <c:pt idx="33">
                  <c:v>95113</c:v>
                </c:pt>
                <c:pt idx="34">
                  <c:v>19318</c:v>
                </c:pt>
                <c:pt idx="35">
                  <c:v>87218</c:v>
                </c:pt>
                <c:pt idx="36">
                  <c:v>13592</c:v>
                </c:pt>
                <c:pt idx="37">
                  <c:v>36947</c:v>
                </c:pt>
                <c:pt idx="38">
                  <c:v>295404</c:v>
                </c:pt>
                <c:pt idx="39">
                  <c:v>4734</c:v>
                </c:pt>
                <c:pt idx="40">
                  <c:v>25330</c:v>
                </c:pt>
                <c:pt idx="41">
                  <c:v>22248</c:v>
                </c:pt>
                <c:pt idx="42">
                  <c:v>37419</c:v>
                </c:pt>
                <c:pt idx="43">
                  <c:v>156428</c:v>
                </c:pt>
                <c:pt idx="44">
                  <c:v>36446</c:v>
                </c:pt>
                <c:pt idx="45">
                  <c:v>13511</c:v>
                </c:pt>
                <c:pt idx="46">
                  <c:v>46316</c:v>
                </c:pt>
                <c:pt idx="47">
                  <c:v>26177</c:v>
                </c:pt>
                <c:pt idx="48">
                  <c:v>37245</c:v>
                </c:pt>
                <c:pt idx="49">
                  <c:v>36422</c:v>
                </c:pt>
                <c:pt idx="50">
                  <c:v>39675</c:v>
                </c:pt>
              </c:numCache>
            </c:numRef>
          </c:xVal>
          <c:yVal>
            <c:numRef>
              <c:f>RUR_EXP_93!$N$7:$N$57</c:f>
              <c:numCache>
                <c:formatCode>General</c:formatCode>
                <c:ptCount val="51"/>
                <c:pt idx="0">
                  <c:v>4442</c:v>
                </c:pt>
                <c:pt idx="1">
                  <c:v>677</c:v>
                </c:pt>
                <c:pt idx="2">
                  <c:v>5110</c:v>
                </c:pt>
                <c:pt idx="3">
                  <c:v>3140</c:v>
                </c:pt>
                <c:pt idx="4">
                  <c:v>14322</c:v>
                </c:pt>
                <c:pt idx="5">
                  <c:v>3661</c:v>
                </c:pt>
                <c:pt idx="6">
                  <c:v>1357</c:v>
                </c:pt>
                <c:pt idx="7">
                  <c:v>0</c:v>
                </c:pt>
                <c:pt idx="8">
                  <c:v>0</c:v>
                </c:pt>
                <c:pt idx="9">
                  <c:v>10183</c:v>
                </c:pt>
                <c:pt idx="10">
                  <c:v>8419</c:v>
                </c:pt>
                <c:pt idx="11">
                  <c:v>0</c:v>
                </c:pt>
                <c:pt idx="12">
                  <c:v>1667</c:v>
                </c:pt>
                <c:pt idx="13">
                  <c:v>8428</c:v>
                </c:pt>
                <c:pt idx="14">
                  <c:v>6646</c:v>
                </c:pt>
                <c:pt idx="15">
                  <c:v>3406</c:v>
                </c:pt>
                <c:pt idx="16">
                  <c:v>2573</c:v>
                </c:pt>
                <c:pt idx="17">
                  <c:v>4737</c:v>
                </c:pt>
                <c:pt idx="18">
                  <c:v>4197</c:v>
                </c:pt>
                <c:pt idx="19">
                  <c:v>1725</c:v>
                </c:pt>
                <c:pt idx="20">
                  <c:v>2913</c:v>
                </c:pt>
                <c:pt idx="21">
                  <c:v>2176</c:v>
                </c:pt>
                <c:pt idx="22">
                  <c:v>5614</c:v>
                </c:pt>
                <c:pt idx="23">
                  <c:v>3201</c:v>
                </c:pt>
                <c:pt idx="24">
                  <c:v>2951</c:v>
                </c:pt>
                <c:pt idx="25">
                  <c:v>5504</c:v>
                </c:pt>
                <c:pt idx="26">
                  <c:v>1928</c:v>
                </c:pt>
                <c:pt idx="27">
                  <c:v>1994</c:v>
                </c:pt>
                <c:pt idx="28">
                  <c:v>1522</c:v>
                </c:pt>
                <c:pt idx="29">
                  <c:v>1330</c:v>
                </c:pt>
                <c:pt idx="30">
                  <c:v>2124</c:v>
                </c:pt>
                <c:pt idx="31">
                  <c:v>3659</c:v>
                </c:pt>
                <c:pt idx="32">
                  <c:v>5381</c:v>
                </c:pt>
                <c:pt idx="33">
                  <c:v>6237</c:v>
                </c:pt>
                <c:pt idx="34">
                  <c:v>1012</c:v>
                </c:pt>
                <c:pt idx="35">
                  <c:v>8276</c:v>
                </c:pt>
                <c:pt idx="36">
                  <c:v>3705</c:v>
                </c:pt>
                <c:pt idx="37">
                  <c:v>3812</c:v>
                </c:pt>
                <c:pt idx="38">
                  <c:v>7381</c:v>
                </c:pt>
                <c:pt idx="39">
                  <c:v>278</c:v>
                </c:pt>
                <c:pt idx="40">
                  <c:v>5945</c:v>
                </c:pt>
                <c:pt idx="41">
                  <c:v>1354</c:v>
                </c:pt>
                <c:pt idx="42">
                  <c:v>6603</c:v>
                </c:pt>
                <c:pt idx="43">
                  <c:v>12612</c:v>
                </c:pt>
                <c:pt idx="44">
                  <c:v>2309</c:v>
                </c:pt>
                <c:pt idx="45">
                  <c:v>1011</c:v>
                </c:pt>
                <c:pt idx="46">
                  <c:v>7511</c:v>
                </c:pt>
                <c:pt idx="47">
                  <c:v>3563</c:v>
                </c:pt>
                <c:pt idx="48">
                  <c:v>2979</c:v>
                </c:pt>
                <c:pt idx="49">
                  <c:v>4236</c:v>
                </c:pt>
                <c:pt idx="50">
                  <c:v>1746</c:v>
                </c:pt>
              </c:numCache>
            </c:numRef>
          </c:yVal>
          <c:smooth val="0"/>
        </c:ser>
        <c:axId val="69692511"/>
        <c:axId val="51070926"/>
      </c:scatterChart>
      <c:valAx>
        <c:axId val="696925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Expenditures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1070926"/>
        <c:crossesAt val="0"/>
        <c:crossBetween val="midCat"/>
      </c:valAx>
      <c:valAx>
        <c:axId val="510709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VMT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9692511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9230664302278"/>
          <c:y val="0.8985893262306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VMT vs. Expenditures on Operations and Maintenance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DUMMIES!$R$3:$T$3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1"/>
          <c:order val="1"/>
          <c:spPr>
            <a:solidFill>
              <a:srgbClr val="FF00FF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DUMMIES!$R$4:$T$4</c:f>
              <c:numCache>
                <c:formatCode>0.00</c:formatCode>
                <c:ptCount val="3"/>
                <c:pt idx="0">
                  <c:v>45762</c:v>
                </c:pt>
                <c:pt idx="1">
                  <c:v>434361</c:v>
                </c:pt>
                <c:pt idx="2">
                  <c:v>0.501704470958437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FF00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DUMMIES!$R$5:$T$5</c:f>
              <c:numCache>
                <c:formatCode>0.00</c:formatCode>
                <c:ptCount val="3"/>
                <c:pt idx="0">
                  <c:v>3841</c:v>
                </c:pt>
                <c:pt idx="1">
                  <c:v>156897</c:v>
                </c:pt>
                <c:pt idx="2">
                  <c:v>0.478000520697735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FFFF"/>
            </a:solidFill>
            <a:ln w="0">
              <a:noFill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DUMMIES!$R$6:$T$6</c:f>
              <c:numCache>
                <c:formatCode>0.00</c:formatCode>
                <c:ptCount val="3"/>
                <c:pt idx="0">
                  <c:v>35047</c:v>
                </c:pt>
                <c:pt idx="1">
                  <c:v>164064</c:v>
                </c:pt>
                <c:pt idx="2">
                  <c:v>0.606585442405912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800080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DUMMIES!$R$7:$T$7</c:f>
              <c:numCache>
                <c:formatCode>0.00</c:formatCode>
                <c:ptCount val="3"/>
                <c:pt idx="0">
                  <c:v>23081</c:v>
                </c:pt>
                <c:pt idx="1">
                  <c:v>243921</c:v>
                </c:pt>
                <c:pt idx="2">
                  <c:v>0.348035180451454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800000"/>
            </a:solidFill>
            <a:ln w="0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DUMMIES!$R$8:$T$8</c:f>
              <c:numCache>
                <c:formatCode>0.00</c:formatCode>
                <c:ptCount val="3"/>
                <c:pt idx="0">
                  <c:v>262548</c:v>
                </c:pt>
                <c:pt idx="1">
                  <c:v>1988584</c:v>
                </c:pt>
                <c:pt idx="2">
                  <c:v>0.801190639425934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008080"/>
            </a:solidFill>
            <a:ln w="0">
              <a:noFill/>
            </a:ln>
          </c:spPr>
          <c:marker>
            <c:symbol val="plus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DUMMIES!$R$9:$T$9</c:f>
              <c:numCache>
                <c:formatCode>0.00</c:formatCode>
                <c:ptCount val="3"/>
                <c:pt idx="0">
                  <c:v>30808</c:v>
                </c:pt>
                <c:pt idx="1">
                  <c:v>365326</c:v>
                </c:pt>
                <c:pt idx="2">
                  <c:v>0.591859257335757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000FF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00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DUMMIES!$R$10:$T$10</c:f>
              <c:numCache>
                <c:formatCode>0.00</c:formatCode>
                <c:ptCount val="3"/>
                <c:pt idx="0">
                  <c:v>26459</c:v>
                </c:pt>
                <c:pt idx="1">
                  <c:v>217091</c:v>
                </c:pt>
                <c:pt idx="2">
                  <c:v>0.770664046260252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00CFFF"/>
            </a:solidFill>
            <a:ln w="0">
              <a:noFill/>
            </a:ln>
          </c:spPr>
          <c:marker>
            <c:symbol val="dash"/>
            <c:size val="5"/>
            <c:spPr>
              <a:solidFill>
                <a:srgbClr val="00C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DUMMIES!$R$11:$T$11</c:f>
              <c:numCache>
                <c:formatCode>0.00</c:formatCode>
                <c:ptCount val="3"/>
                <c:pt idx="0">
                  <c:v>6892</c:v>
                </c:pt>
                <c:pt idx="1">
                  <c:v>63710</c:v>
                </c:pt>
                <c:pt idx="2">
                  <c:v>0.610417875798027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69FFFF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69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DUMMIES!$R$12:$T$12</c:f>
              <c:numCache>
                <c:formatCode>0.00</c:formatCode>
                <c:ptCount val="3"/>
                <c:pt idx="0">
                  <c:v>3562</c:v>
                </c:pt>
                <c:pt idx="1">
                  <c:v>28536</c:v>
                </c:pt>
                <c:pt idx="2">
                  <c:v>1</c:v>
                </c:pt>
              </c:numCache>
            </c:numRef>
          </c:yVal>
          <c:smooth val="0"/>
        </c:ser>
        <c:ser>
          <c:idx val="10"/>
          <c:order val="10"/>
          <c:spPr>
            <a:solidFill>
              <a:srgbClr val="E0FFE0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E0FFE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DUMMIES!$R$13:$T$13</c:f>
              <c:numCache>
                <c:formatCode>0.00</c:formatCode>
                <c:ptCount val="3"/>
                <c:pt idx="0">
                  <c:v>119868</c:v>
                </c:pt>
                <c:pt idx="1">
                  <c:v>649505</c:v>
                </c:pt>
                <c:pt idx="2">
                  <c:v>0.708003804184603</c:v>
                </c:pt>
              </c:numCache>
            </c:numRef>
          </c:yVal>
          <c:smooth val="0"/>
        </c:ser>
        <c:ser>
          <c:idx val="11"/>
          <c:order val="11"/>
          <c:spPr>
            <a:solidFill>
              <a:srgbClr val="FFFF80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FFFF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DUMMIES!$R$14:$T$14</c:f>
              <c:numCache>
                <c:formatCode>0.00</c:formatCode>
                <c:ptCount val="3"/>
                <c:pt idx="0">
                  <c:v>77904</c:v>
                </c:pt>
                <c:pt idx="1">
                  <c:v>446538</c:v>
                </c:pt>
                <c:pt idx="2">
                  <c:v>0.587030191004313</c:v>
                </c:pt>
              </c:numCache>
            </c:numRef>
          </c:yVal>
          <c:smooth val="0"/>
        </c:ser>
        <c:ser>
          <c:idx val="12"/>
          <c:order val="12"/>
          <c:spPr>
            <a:solidFill>
              <a:srgbClr val="A6CAF0"/>
            </a:solidFill>
            <a:ln w="0">
              <a:noFill/>
            </a:ln>
          </c:spPr>
          <c:marker>
            <c:symbol val="x"/>
            <c:size val="5"/>
            <c:spPr>
              <a:solidFill>
                <a:srgbClr val="A6CA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DUMMIES!$R$15:$T$15</c:f>
              <c:numCache>
                <c:formatCode>0.00</c:formatCode>
                <c:ptCount val="3"/>
                <c:pt idx="0">
                  <c:v>8066</c:v>
                </c:pt>
                <c:pt idx="1">
                  <c:v>70087</c:v>
                </c:pt>
                <c:pt idx="2">
                  <c:v>0.733696999752046</c:v>
                </c:pt>
              </c:numCache>
            </c:numRef>
          </c:yVal>
          <c:smooth val="0"/>
        </c:ser>
        <c:ser>
          <c:idx val="13"/>
          <c:order val="13"/>
          <c:spPr>
            <a:solidFill>
              <a:srgbClr val="DD9CB3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DD9CB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DUMMIES!$R$16:$T$16</c:f>
              <c:numCache>
                <c:formatCode>0.00</c:formatCode>
                <c:ptCount val="3"/>
                <c:pt idx="0">
                  <c:v>10764</c:v>
                </c:pt>
                <c:pt idx="1">
                  <c:v>134567</c:v>
                </c:pt>
                <c:pt idx="2">
                  <c:v>0.330453363062059</c:v>
                </c:pt>
              </c:numCache>
            </c:numRef>
          </c:yVal>
          <c:smooth val="0"/>
        </c:ser>
        <c:ser>
          <c:idx val="14"/>
          <c:order val="14"/>
          <c:spPr>
            <a:solidFill>
              <a:srgbClr val="B38FEE"/>
            </a:solidFill>
            <a:ln w="0">
              <a:noFill/>
            </a:ln>
          </c:spPr>
          <c:marker>
            <c:symbol val="circle"/>
            <c:size val="5"/>
            <c:spPr>
              <a:solidFill>
                <a:srgbClr val="B38FE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DUMMIES!$R$17:$T$17</c:f>
              <c:numCache>
                <c:formatCode>0.00</c:formatCode>
                <c:ptCount val="3"/>
                <c:pt idx="0">
                  <c:v>87642</c:v>
                </c:pt>
                <c:pt idx="1">
                  <c:v>993150</c:v>
                </c:pt>
                <c:pt idx="2">
                  <c:v>0.677620319025125</c:v>
                </c:pt>
              </c:numCache>
            </c:numRef>
          </c:yVal>
          <c:smooth val="0"/>
        </c:ser>
        <c:ser>
          <c:idx val="15"/>
          <c:order val="15"/>
          <c:spPr>
            <a:solidFill>
              <a:srgbClr val="E3E3E3"/>
            </a:solidFill>
            <a:ln w="0">
              <a:noFill/>
            </a:ln>
          </c:spPr>
          <c:marker>
            <c:symbol val="plus"/>
            <c:size val="5"/>
            <c:spPr>
              <a:solidFill>
                <a:srgbClr val="E3E3E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DUMMIES!$R$18:$T$18</c:f>
              <c:numCache>
                <c:formatCode>0.00</c:formatCode>
                <c:ptCount val="3"/>
                <c:pt idx="0">
                  <c:v>57072</c:v>
                </c:pt>
                <c:pt idx="1">
                  <c:v>416477</c:v>
                </c:pt>
                <c:pt idx="2">
                  <c:v>0.487454443509952</c:v>
                </c:pt>
              </c:numCache>
            </c:numRef>
          </c:yVal>
          <c:smooth val="0"/>
        </c:ser>
        <c:ser>
          <c:idx val="16"/>
          <c:order val="16"/>
          <c:spPr>
            <a:solidFill>
              <a:srgbClr val="2A6FF9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2A6FF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DUMMIES!$R$19:$T$19</c:f>
              <c:numCache>
                <c:formatCode>0.00</c:formatCode>
                <c:ptCount val="3"/>
                <c:pt idx="0">
                  <c:v>23926</c:v>
                </c:pt>
                <c:pt idx="1">
                  <c:v>417838</c:v>
                </c:pt>
                <c:pt idx="2">
                  <c:v>0.357853381258882</c:v>
                </c:pt>
              </c:numCache>
            </c:numRef>
          </c:yVal>
          <c:smooth val="0"/>
        </c:ser>
        <c:ser>
          <c:idx val="17"/>
          <c:order val="17"/>
          <c:spPr>
            <a:solidFill>
              <a:srgbClr val="3FB8CD"/>
            </a:solidFill>
            <a:ln w="0">
              <a:noFill/>
            </a:ln>
          </c:spPr>
          <c:marker>
            <c:symbol val="dash"/>
            <c:size val="5"/>
            <c:spPr>
              <a:solidFill>
                <a:srgbClr val="3FB8CD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DUMMIES!$R$20:$T$20</c:f>
              <c:numCache>
                <c:formatCode>0.00</c:formatCode>
                <c:ptCount val="3"/>
                <c:pt idx="0">
                  <c:v>24163</c:v>
                </c:pt>
                <c:pt idx="1">
                  <c:v>277164</c:v>
                </c:pt>
                <c:pt idx="2">
                  <c:v>0.466539750858751</c:v>
                </c:pt>
              </c:numCache>
            </c:numRef>
          </c:yVal>
          <c:smooth val="0"/>
        </c:ser>
        <c:ser>
          <c:idx val="18"/>
          <c:order val="18"/>
          <c:spPr>
            <a:solidFill>
              <a:srgbClr val="488436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48843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DUMMIES!$R$21:$T$21</c:f>
              <c:numCache>
                <c:formatCode>0.00</c:formatCode>
                <c:ptCount val="3"/>
                <c:pt idx="0">
                  <c:v>38062</c:v>
                </c:pt>
                <c:pt idx="1">
                  <c:v>263203</c:v>
                </c:pt>
                <c:pt idx="2">
                  <c:v>0.437943355577742</c:v>
                </c:pt>
              </c:numCache>
            </c:numRef>
          </c:yVal>
          <c:smooth val="0"/>
        </c:ser>
        <c:ser>
          <c:idx val="19"/>
          <c:order val="19"/>
          <c:spPr>
            <a:solidFill>
              <a:srgbClr val="958C41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958C4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DUMMIES!$R$22:$T$22</c:f>
              <c:numCache>
                <c:formatCode>0.00</c:formatCode>
                <c:ptCount val="3"/>
                <c:pt idx="0">
                  <c:v>33855</c:v>
                </c:pt>
                <c:pt idx="1">
                  <c:v>254019</c:v>
                </c:pt>
                <c:pt idx="2">
                  <c:v>0.496174863387978</c:v>
                </c:pt>
              </c:numCache>
            </c:numRef>
          </c:yVal>
          <c:smooth val="0"/>
        </c:ser>
        <c:ser>
          <c:idx val="20"/>
          <c:order val="20"/>
          <c:spPr>
            <a:solidFill>
              <a:srgbClr val="8E5E42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8E5E4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DUMMIES!$R$23:$T$23</c:f>
              <c:numCache>
                <c:formatCode>0.00</c:formatCode>
                <c:ptCount val="3"/>
                <c:pt idx="0">
                  <c:v>12151</c:v>
                </c:pt>
                <c:pt idx="1">
                  <c:v>213313</c:v>
                </c:pt>
                <c:pt idx="2">
                  <c:v>0.262282939675747</c:v>
                </c:pt>
              </c:numCache>
            </c:numRef>
          </c:yVal>
          <c:smooth val="0"/>
        </c:ser>
        <c:ser>
          <c:idx val="21"/>
          <c:order val="21"/>
          <c:spPr>
            <a:solidFill>
              <a:srgbClr val="A0627A"/>
            </a:solidFill>
            <a:ln w="0">
              <a:noFill/>
            </a:ln>
          </c:spPr>
          <c:marker>
            <c:symbol val="x"/>
            <c:size val="5"/>
            <c:spPr>
              <a:solidFill>
                <a:srgbClr val="A0627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DUMMIES!$R$24:$T$24</c:f>
              <c:numCache>
                <c:formatCode>0.00</c:formatCode>
                <c:ptCount val="3"/>
                <c:pt idx="0">
                  <c:v>41896</c:v>
                </c:pt>
                <c:pt idx="1">
                  <c:v>349237</c:v>
                </c:pt>
                <c:pt idx="2">
                  <c:v>0.694433836165744</c:v>
                </c:pt>
              </c:numCache>
            </c:numRef>
          </c:yVal>
          <c:smooth val="0"/>
        </c:ser>
        <c:ser>
          <c:idx val="22"/>
          <c:order val="22"/>
          <c:spPr>
            <a:solidFill>
              <a:srgbClr val="624FAC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624FA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DUMMIES!$R$25:$T$25</c:f>
              <c:numCache>
                <c:formatCode>0.00</c:formatCode>
                <c:ptCount val="3"/>
                <c:pt idx="0">
                  <c:v>47348</c:v>
                </c:pt>
                <c:pt idx="1">
                  <c:v>390193</c:v>
                </c:pt>
                <c:pt idx="2">
                  <c:v>0.814332178761511</c:v>
                </c:pt>
              </c:numCache>
            </c:numRef>
          </c:yVal>
          <c:smooth val="0"/>
        </c:ser>
        <c:ser>
          <c:idx val="23"/>
          <c:order val="23"/>
          <c:spPr>
            <a:solidFill>
              <a:srgbClr val="969696"/>
            </a:solidFill>
            <a:ln w="0">
              <a:noFill/>
            </a:ln>
          </c:spPr>
          <c:marker>
            <c:symbol val="circle"/>
            <c:size val="5"/>
            <c:spPr>
              <a:solidFill>
                <a:srgbClr val="96969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DUMMIES!$R$26:$T$26</c:f>
              <c:numCache>
                <c:formatCode>0.00</c:formatCode>
                <c:ptCount val="3"/>
                <c:pt idx="0">
                  <c:v>84219</c:v>
                </c:pt>
                <c:pt idx="1">
                  <c:v>782040</c:v>
                </c:pt>
                <c:pt idx="2">
                  <c:v>0.629133568434676</c:v>
                </c:pt>
              </c:numCache>
            </c:numRef>
          </c:yVal>
          <c:smooth val="0"/>
        </c:ser>
        <c:ser>
          <c:idx val="24"/>
          <c:order val="24"/>
          <c:spPr>
            <a:solidFill>
              <a:srgbClr val="1D2FBE"/>
            </a:solidFill>
            <a:ln w="0">
              <a:noFill/>
            </a:ln>
          </c:spPr>
          <c:marker>
            <c:symbol val="plus"/>
            <c:size val="5"/>
            <c:spPr>
              <a:solidFill>
                <a:srgbClr val="1D2FB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DUMMIES!$R$27:$T$27</c:f>
              <c:numCache>
                <c:formatCode>0.00</c:formatCode>
                <c:ptCount val="3"/>
                <c:pt idx="0">
                  <c:v>41162</c:v>
                </c:pt>
                <c:pt idx="1">
                  <c:v>541583</c:v>
                </c:pt>
                <c:pt idx="2">
                  <c:v>0.514843787959769</c:v>
                </c:pt>
              </c:numCache>
            </c:numRef>
          </c:yVal>
          <c:smooth val="0"/>
        </c:ser>
        <c:ser>
          <c:idx val="25"/>
          <c:order val="25"/>
          <c:spPr>
            <a:solidFill>
              <a:srgbClr val="286676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28667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DUMMIES!$R$28:$T$28</c:f>
              <c:numCache>
                <c:formatCode>0.00</c:formatCode>
                <c:ptCount val="3"/>
                <c:pt idx="0">
                  <c:v>26239</c:v>
                </c:pt>
                <c:pt idx="1">
                  <c:v>243481</c:v>
                </c:pt>
                <c:pt idx="2">
                  <c:v>0.332253515758985</c:v>
                </c:pt>
              </c:numCache>
            </c:numRef>
          </c:yVal>
          <c:smooth val="0"/>
        </c:ser>
        <c:ser>
          <c:idx val="26"/>
          <c:order val="26"/>
          <c:spPr>
            <a:solidFill>
              <a:srgbClr val="004500"/>
            </a:solidFill>
            <a:ln w="0">
              <a:noFill/>
            </a:ln>
          </c:spPr>
          <c:marker>
            <c:symbol val="dash"/>
            <c:size val="5"/>
            <c:spPr>
              <a:solidFill>
                <a:srgbClr val="0045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DUMMIES!$R$29:$T$29</c:f>
              <c:numCache>
                <c:formatCode>0.00</c:formatCode>
                <c:ptCount val="3"/>
                <c:pt idx="0">
                  <c:v>53254</c:v>
                </c:pt>
                <c:pt idx="1">
                  <c:v>433159</c:v>
                </c:pt>
                <c:pt idx="2">
                  <c:v>0.531152589476847</c:v>
                </c:pt>
              </c:numCache>
            </c:numRef>
          </c:yVal>
          <c:smooth val="0"/>
        </c:ser>
        <c:ser>
          <c:idx val="27"/>
          <c:order val="27"/>
          <c:spPr>
            <a:solidFill>
              <a:srgbClr val="453E01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453E0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DUMMIES!$R$30:$T$30</c:f>
              <c:numCache>
                <c:formatCode>0.00</c:formatCode>
                <c:ptCount val="3"/>
                <c:pt idx="0">
                  <c:v>8525</c:v>
                </c:pt>
                <c:pt idx="1">
                  <c:v>67621</c:v>
                </c:pt>
                <c:pt idx="2">
                  <c:v>0.237302052785924</c:v>
                </c:pt>
              </c:numCache>
            </c:numRef>
          </c:yVal>
          <c:smooth val="0"/>
        </c:ser>
        <c:ser>
          <c:idx val="28"/>
          <c:order val="28"/>
          <c:spPr>
            <a:solidFill>
              <a:srgbClr val="6A2813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6A281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DUMMIES!$R$31:$T$31</c:f>
              <c:numCache>
                <c:formatCode>0.00</c:formatCode>
                <c:ptCount val="3"/>
                <c:pt idx="0">
                  <c:v>14621</c:v>
                </c:pt>
                <c:pt idx="1">
                  <c:v>179015</c:v>
                </c:pt>
                <c:pt idx="2">
                  <c:v>0.387182819232611</c:v>
                </c:pt>
              </c:numCache>
            </c:numRef>
          </c:yVal>
          <c:smooth val="0"/>
        </c:ser>
        <c:ser>
          <c:idx val="29"/>
          <c:order val="29"/>
          <c:spPr>
            <a:solidFill>
              <a:srgbClr val="85396A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85396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DUMMIES!$R$32:$T$32</c:f>
              <c:numCache>
                <c:formatCode>0.00</c:formatCode>
                <c:ptCount val="3"/>
                <c:pt idx="0">
                  <c:v>10897</c:v>
                </c:pt>
                <c:pt idx="1">
                  <c:v>74470</c:v>
                </c:pt>
                <c:pt idx="2">
                  <c:v>0.588969441130586</c:v>
                </c:pt>
              </c:numCache>
            </c:numRef>
          </c:yVal>
          <c:smooth val="0"/>
        </c:ser>
        <c:ser>
          <c:idx val="30"/>
          <c:order val="30"/>
          <c:spPr>
            <a:solidFill>
              <a:srgbClr val="4A3285"/>
            </a:solidFill>
            <a:ln w="0">
              <a:noFill/>
            </a:ln>
          </c:spPr>
          <c:marker>
            <c:symbol val="x"/>
            <c:size val="5"/>
            <c:spPr>
              <a:solidFill>
                <a:srgbClr val="4A328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DUMMIES!$R$33:$T$33</c:f>
              <c:numCache>
                <c:formatCode>0.00</c:formatCode>
                <c:ptCount val="3"/>
                <c:pt idx="0">
                  <c:v>10067</c:v>
                </c:pt>
                <c:pt idx="1">
                  <c:v>165327</c:v>
                </c:pt>
                <c:pt idx="2">
                  <c:v>0.368729512267806</c:v>
                </c:pt>
              </c:numCache>
            </c:numRef>
          </c:yVal>
          <c:smooth val="0"/>
        </c:ser>
        <c:ser>
          <c:idx val="31"/>
          <c:order val="31"/>
          <c:spPr>
            <a:solidFill>
              <a:srgbClr val="000000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DUMMIES!$R$34:$T$34</c:f>
              <c:numCache>
                <c:formatCode>0.00</c:formatCode>
                <c:ptCount val="3"/>
                <c:pt idx="0">
                  <c:v>59410</c:v>
                </c:pt>
                <c:pt idx="1">
                  <c:v>701627</c:v>
                </c:pt>
                <c:pt idx="2">
                  <c:v>0.800538629860293</c:v>
                </c:pt>
              </c:numCache>
            </c:numRef>
          </c:yVal>
          <c:smooth val="0"/>
        </c:ser>
        <c:ser>
          <c:idx val="32"/>
          <c:order val="32"/>
          <c:spPr>
            <a:solidFill>
              <a:srgbClr val="FFFFFF"/>
            </a:solidFill>
            <a:ln w="0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DUMMIES!$R$35:$T$35</c:f>
              <c:numCache>
                <c:formatCode>0.00</c:formatCode>
                <c:ptCount val="3"/>
                <c:pt idx="0">
                  <c:v>18452</c:v>
                </c:pt>
                <c:pt idx="1">
                  <c:v>107812</c:v>
                </c:pt>
                <c:pt idx="2">
                  <c:v>0.368740515933232</c:v>
                </c:pt>
              </c:numCache>
            </c:numRef>
          </c:yVal>
          <c:smooth val="0"/>
        </c:ser>
        <c:ser>
          <c:idx val="33"/>
          <c:order val="33"/>
          <c:spPr>
            <a:solidFill>
              <a:srgbClr val="FF0000"/>
            </a:solidFill>
            <a:ln w="0">
              <a:noFill/>
            </a:ln>
          </c:spPr>
          <c:marker>
            <c:symbol val="plus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DUMMIES!$R$36:$T$36</c:f>
              <c:numCache>
                <c:formatCode>0.00</c:formatCode>
                <c:ptCount val="3"/>
                <c:pt idx="0">
                  <c:v>109881</c:v>
                </c:pt>
                <c:pt idx="1">
                  <c:v>2446441</c:v>
                </c:pt>
                <c:pt idx="2">
                  <c:v>0.723864908400906</c:v>
                </c:pt>
              </c:numCache>
            </c:numRef>
          </c:yVal>
          <c:smooth val="0"/>
        </c:ser>
        <c:ser>
          <c:idx val="34"/>
          <c:order val="34"/>
          <c:spPr>
            <a:solidFill>
              <a:srgbClr val="00FF00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00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DUMMIES!$R$37:$T$37</c:f>
              <c:numCache>
                <c:formatCode>0.00</c:formatCode>
                <c:ptCount val="3"/>
                <c:pt idx="0">
                  <c:v>67538</c:v>
                </c:pt>
                <c:pt idx="1">
                  <c:v>449754</c:v>
                </c:pt>
                <c:pt idx="2">
                  <c:v>0.500044419437946</c:v>
                </c:pt>
              </c:numCache>
            </c:numRef>
          </c:yVal>
          <c:smooth val="0"/>
        </c:ser>
        <c:ser>
          <c:idx val="35"/>
          <c:order val="35"/>
          <c:spPr>
            <a:solidFill>
              <a:srgbClr val="0000FF"/>
            </a:solidFill>
            <a:ln w="0">
              <a:noFill/>
            </a:ln>
          </c:spPr>
          <c:marker>
            <c:symbol val="dash"/>
            <c:size val="5"/>
            <c:spPr>
              <a:solidFill>
                <a:srgbClr val="00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DUMMIES!$R$38:$T$38</c:f>
              <c:numCache>
                <c:formatCode>0.00</c:formatCode>
                <c:ptCount val="3"/>
                <c:pt idx="0">
                  <c:v>6072</c:v>
                </c:pt>
                <c:pt idx="1">
                  <c:v>86607</c:v>
                </c:pt>
                <c:pt idx="2">
                  <c:v>0.259387351778656</c:v>
                </c:pt>
              </c:numCache>
            </c:numRef>
          </c:yVal>
          <c:smooth val="0"/>
        </c:ser>
        <c:ser>
          <c:idx val="36"/>
          <c:order val="36"/>
          <c:spPr>
            <a:solidFill>
              <a:srgbClr val="FFFF0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DUMMIES!$R$39:$T$39</c:f>
              <c:numCache>
                <c:formatCode>0.00</c:formatCode>
                <c:ptCount val="3"/>
                <c:pt idx="0">
                  <c:v>95221</c:v>
                </c:pt>
                <c:pt idx="1">
                  <c:v>964768</c:v>
                </c:pt>
                <c:pt idx="2">
                  <c:v>0.606924943027273</c:v>
                </c:pt>
              </c:numCache>
            </c:numRef>
          </c:yVal>
          <c:smooth val="0"/>
        </c:ser>
        <c:ser>
          <c:idx val="37"/>
          <c:order val="37"/>
          <c:spPr>
            <a:solidFill>
              <a:srgbClr val="FF00FF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DUMMIES!$R$40:$T$40</c:f>
              <c:numCache>
                <c:formatCode>0.00</c:formatCode>
                <c:ptCount val="3"/>
                <c:pt idx="0">
                  <c:v>35119</c:v>
                </c:pt>
                <c:pt idx="1">
                  <c:v>206423</c:v>
                </c:pt>
                <c:pt idx="2">
                  <c:v>0.505481363364561</c:v>
                </c:pt>
              </c:numCache>
            </c:numRef>
          </c:yVal>
          <c:smooth val="0"/>
        </c:ser>
        <c:ser>
          <c:idx val="38"/>
          <c:order val="38"/>
          <c:spPr>
            <a:solidFill>
              <a:srgbClr val="00FFFF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DUMMIES!$R$41:$T$41</c:f>
              <c:numCache>
                <c:formatCode>0.00</c:formatCode>
                <c:ptCount val="3"/>
                <c:pt idx="0">
                  <c:v>27926</c:v>
                </c:pt>
                <c:pt idx="1">
                  <c:v>296451</c:v>
                </c:pt>
                <c:pt idx="2">
                  <c:v>0.44367256320275</c:v>
                </c:pt>
              </c:numCache>
            </c:numRef>
          </c:yVal>
          <c:smooth val="0"/>
        </c:ser>
        <c:ser>
          <c:idx val="39"/>
          <c:order val="39"/>
          <c:spPr>
            <a:solidFill>
              <a:srgbClr val="800000"/>
            </a:solidFill>
            <a:ln w="0">
              <a:noFill/>
            </a:ln>
          </c:spPr>
          <c:marker>
            <c:symbol val="x"/>
            <c:size val="5"/>
            <c:spPr>
              <a:solidFill>
                <a:srgbClr val="8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DUMMIES!$R$42:$T$42</c:f>
              <c:numCache>
                <c:formatCode>0.00</c:formatCode>
                <c:ptCount val="3"/>
                <c:pt idx="0">
                  <c:v>89200</c:v>
                </c:pt>
                <c:pt idx="1">
                  <c:v>1509092</c:v>
                </c:pt>
                <c:pt idx="2">
                  <c:v>0.581289237668161</c:v>
                </c:pt>
              </c:numCache>
            </c:numRef>
          </c:yVal>
          <c:smooth val="0"/>
        </c:ser>
        <c:ser>
          <c:idx val="40"/>
          <c:order val="40"/>
          <c:spPr>
            <a:solidFill>
              <a:srgbClr val="008000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008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DUMMIES!$R$43:$T$43</c:f>
              <c:numCache>
                <c:formatCode>0.00</c:formatCode>
                <c:ptCount val="3"/>
                <c:pt idx="0">
                  <c:v>7559</c:v>
                </c:pt>
                <c:pt idx="1">
                  <c:v>40852</c:v>
                </c:pt>
                <c:pt idx="2">
                  <c:v>0.850641619261807</c:v>
                </c:pt>
              </c:numCache>
            </c:numRef>
          </c:yVal>
          <c:smooth val="0"/>
        </c:ser>
        <c:ser>
          <c:idx val="41"/>
          <c:order val="41"/>
          <c:spPr>
            <a:solidFill>
              <a:srgbClr val="000080"/>
            </a:solidFill>
            <a:ln w="0">
              <a:noFill/>
            </a:ln>
          </c:spPr>
          <c:marker>
            <c:symbol val="circle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DUMMIES!$R$44:$T$44</c:f>
              <c:numCache>
                <c:formatCode>0.00</c:formatCode>
                <c:ptCount val="3"/>
                <c:pt idx="0">
                  <c:v>35049</c:v>
                </c:pt>
                <c:pt idx="1">
                  <c:v>200199</c:v>
                </c:pt>
                <c:pt idx="2">
                  <c:v>0.397614767896374</c:v>
                </c:pt>
              </c:numCache>
            </c:numRef>
          </c:yVal>
          <c:smooth val="0"/>
        </c:ser>
        <c:ser>
          <c:idx val="42"/>
          <c:order val="42"/>
          <c:spPr>
            <a:solidFill>
              <a:srgbClr val="808000"/>
            </a:solidFill>
            <a:ln w="0">
              <a:noFill/>
            </a:ln>
          </c:spPr>
          <c:marker>
            <c:symbol val="plus"/>
            <c:size val="5"/>
            <c:spPr>
              <a:solidFill>
                <a:srgbClr val="808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DUMMIES!$R$45:$T$45</c:f>
              <c:numCache>
                <c:formatCode>0.00</c:formatCode>
                <c:ptCount val="3"/>
                <c:pt idx="0">
                  <c:v>7218</c:v>
                </c:pt>
                <c:pt idx="1">
                  <c:v>105428</c:v>
                </c:pt>
                <c:pt idx="2">
                  <c:v>0.213355500138543</c:v>
                </c:pt>
              </c:numCache>
            </c:numRef>
          </c:yVal>
          <c:smooth val="0"/>
        </c:ser>
        <c:ser>
          <c:idx val="43"/>
          <c:order val="43"/>
          <c:spPr>
            <a:solidFill>
              <a:srgbClr val="800080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DUMMIES!$R$46:$T$46</c:f>
              <c:numCache>
                <c:formatCode>0.00</c:formatCode>
                <c:ptCount val="3"/>
                <c:pt idx="0">
                  <c:v>49994</c:v>
                </c:pt>
                <c:pt idx="1">
                  <c:v>417781</c:v>
                </c:pt>
                <c:pt idx="2">
                  <c:v>0.547925751090131</c:v>
                </c:pt>
              </c:numCache>
            </c:numRef>
          </c:yVal>
          <c:smooth val="0"/>
        </c:ser>
        <c:ser>
          <c:idx val="44"/>
          <c:order val="44"/>
          <c:spPr>
            <a:solidFill>
              <a:srgbClr val="008080"/>
            </a:solidFill>
            <a:ln w="0">
              <a:noFill/>
            </a:ln>
          </c:spPr>
          <c:marker>
            <c:symbol val="dash"/>
            <c:size val="5"/>
            <c:spPr>
              <a:solidFill>
                <a:srgbClr val="0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DUMMIES!$R$47:$T$47</c:f>
              <c:numCache>
                <c:formatCode>0.00</c:formatCode>
                <c:ptCount val="3"/>
                <c:pt idx="0">
                  <c:v>163329</c:v>
                </c:pt>
                <c:pt idx="1">
                  <c:v>1463095</c:v>
                </c:pt>
                <c:pt idx="2">
                  <c:v>0.649982550557464</c:v>
                </c:pt>
              </c:numCache>
            </c:numRef>
          </c:yVal>
          <c:smooth val="0"/>
        </c:ser>
        <c:ser>
          <c:idx val="45"/>
          <c:order val="45"/>
          <c:spPr>
            <a:solidFill>
              <a:srgbClr val="C0C0C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C0C0C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DUMMIES!$R$48:$T$48</c:f>
              <c:numCache>
                <c:formatCode>0.00</c:formatCode>
                <c:ptCount val="3"/>
                <c:pt idx="0">
                  <c:v>16307</c:v>
                </c:pt>
                <c:pt idx="1">
                  <c:v>133474</c:v>
                </c:pt>
                <c:pt idx="2">
                  <c:v>0.635616606365365</c:v>
                </c:pt>
              </c:numCache>
            </c:numRef>
          </c:yVal>
          <c:smooth val="0"/>
        </c:ser>
        <c:ser>
          <c:idx val="46"/>
          <c:order val="46"/>
          <c:spPr>
            <a:solidFill>
              <a:srgbClr val="808080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808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DUMMIES!$R$49:$T$49</c:f>
              <c:numCache>
                <c:formatCode>0.00</c:formatCode>
                <c:ptCount val="3"/>
                <c:pt idx="0">
                  <c:v>6019</c:v>
                </c:pt>
                <c:pt idx="1">
                  <c:v>90151</c:v>
                </c:pt>
                <c:pt idx="2">
                  <c:v>0.283103505565709</c:v>
                </c:pt>
              </c:numCache>
            </c:numRef>
          </c:yVal>
          <c:smooth val="0"/>
        </c:ser>
        <c:ser>
          <c:idx val="47"/>
          <c:order val="47"/>
          <c:spPr>
            <a:solidFill>
              <a:srgbClr val="8080FF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808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DUMMIES!$R$50:$T$50</c:f>
              <c:numCache>
                <c:formatCode>0.00</c:formatCode>
                <c:ptCount val="3"/>
                <c:pt idx="0">
                  <c:v>63447</c:v>
                </c:pt>
                <c:pt idx="1">
                  <c:v>655777</c:v>
                </c:pt>
                <c:pt idx="2">
                  <c:v>0.530789477831891</c:v>
                </c:pt>
              </c:numCache>
            </c:numRef>
          </c:yVal>
          <c:smooth val="0"/>
        </c:ser>
        <c:ser>
          <c:idx val="48"/>
          <c:order val="48"/>
          <c:spPr>
            <a:solidFill>
              <a:srgbClr val="802060"/>
            </a:solidFill>
            <a:ln w="0">
              <a:noFill/>
            </a:ln>
          </c:spPr>
          <c:marker>
            <c:symbol val="x"/>
            <c:size val="5"/>
            <c:spPr>
              <a:solidFill>
                <a:srgbClr val="80206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DUMMIES!$R$51:$T$51</c:f>
              <c:numCache>
                <c:formatCode>0.00</c:formatCode>
                <c:ptCount val="3"/>
                <c:pt idx="0">
                  <c:v>49386</c:v>
                </c:pt>
                <c:pt idx="1">
                  <c:v>463608</c:v>
                </c:pt>
                <c:pt idx="2">
                  <c:v>0.662009476369821</c:v>
                </c:pt>
              </c:numCache>
            </c:numRef>
          </c:yVal>
          <c:smooth val="0"/>
        </c:ser>
        <c:ser>
          <c:idx val="49"/>
          <c:order val="49"/>
          <c:spPr>
            <a:solidFill>
              <a:srgbClr val="FFFFC0"/>
            </a:solidFill>
            <a:ln w="0">
              <a:noFill/>
            </a:ln>
          </c:spPr>
          <c:marker>
            <c:symbol val="square"/>
            <c:size val="5"/>
            <c:spPr>
              <a:solidFill>
                <a:srgbClr val="FFFFC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DUMMIES!$R$52:$T$52</c:f>
              <c:numCache>
                <c:formatCode>0.00</c:formatCode>
                <c:ptCount val="3"/>
                <c:pt idx="0">
                  <c:v>16478</c:v>
                </c:pt>
                <c:pt idx="1">
                  <c:v>209882</c:v>
                </c:pt>
                <c:pt idx="2">
                  <c:v>0.281951693166646</c:v>
                </c:pt>
              </c:numCache>
            </c:numRef>
          </c:yVal>
          <c:smooth val="0"/>
        </c:ser>
        <c:ser>
          <c:idx val="50"/>
          <c:order val="50"/>
          <c:spPr>
            <a:solidFill>
              <a:srgbClr val="A0E0E0"/>
            </a:solidFill>
            <a:ln w="0">
              <a:noFill/>
            </a:ln>
          </c:spPr>
          <c:marker>
            <c:symbol val="circle"/>
            <c:size val="5"/>
            <c:spPr>
              <a:solidFill>
                <a:srgbClr val="A0E0E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DUMMIES!$R$53:$T$53</c:f>
              <c:numCache>
                <c:formatCode>0.00</c:formatCode>
                <c:ptCount val="3"/>
                <c:pt idx="0">
                  <c:v>47628</c:v>
                </c:pt>
                <c:pt idx="1">
                  <c:v>541402</c:v>
                </c:pt>
                <c:pt idx="2">
                  <c:v>0.474741748551272</c:v>
                </c:pt>
              </c:numCache>
            </c:numRef>
          </c:yVal>
          <c:smooth val="0"/>
        </c:ser>
        <c:ser>
          <c:idx val="51"/>
          <c:order val="51"/>
          <c:spPr>
            <a:solidFill>
              <a:srgbClr val="600080"/>
            </a:solidFill>
            <a:ln w="0">
              <a:noFill/>
            </a:ln>
          </c:spPr>
          <c:marker>
            <c:symbol val="plus"/>
            <c:size val="5"/>
            <c:spPr>
              <a:solidFill>
                <a:srgbClr val="6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DUMMIES!$R$54:$T$54</c:f>
              <c:numCache>
                <c:formatCode>0.00</c:formatCode>
                <c:ptCount val="3"/>
                <c:pt idx="0">
                  <c:v>6217</c:v>
                </c:pt>
                <c:pt idx="1">
                  <c:v>87907</c:v>
                </c:pt>
                <c:pt idx="2">
                  <c:v>0.259449895447965</c:v>
                </c:pt>
              </c:numCache>
            </c:numRef>
          </c:yVal>
          <c:smooth val="0"/>
        </c:ser>
        <c:axId val="66345495"/>
        <c:axId val="41596504"/>
      </c:scatterChart>
      <c:valAx>
        <c:axId val="66345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VMT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1596504"/>
        <c:crossesAt val="0"/>
        <c:crossBetween val="midCat"/>
      </c:valAx>
      <c:valAx>
        <c:axId val="4159650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Expenditures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6345495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10"/>
          <c:y val="4.3670886075949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Geneva"/>
              </a:rPr>
              <a:t>Expenditures vs. VMT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3560188023707"/>
          <c:y val="0.202463513093883"/>
          <c:w val="0.938279174330676"/>
          <c:h val="0.62095021219335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DUMMIES!$R$4:$R$54</c:f>
              <c:numCache>
                <c:formatCode>0.00</c:formatCode>
                <c:ptCount val="51"/>
                <c:pt idx="0">
                  <c:v>45762</c:v>
                </c:pt>
                <c:pt idx="1">
                  <c:v>3841</c:v>
                </c:pt>
                <c:pt idx="2">
                  <c:v>35047</c:v>
                </c:pt>
                <c:pt idx="3">
                  <c:v>23081</c:v>
                </c:pt>
                <c:pt idx="4">
                  <c:v>262548</c:v>
                </c:pt>
                <c:pt idx="5">
                  <c:v>30808</c:v>
                </c:pt>
                <c:pt idx="6">
                  <c:v>26459</c:v>
                </c:pt>
                <c:pt idx="7">
                  <c:v>6892</c:v>
                </c:pt>
                <c:pt idx="8">
                  <c:v>3562</c:v>
                </c:pt>
                <c:pt idx="9">
                  <c:v>119868</c:v>
                </c:pt>
                <c:pt idx="10">
                  <c:v>77904</c:v>
                </c:pt>
                <c:pt idx="11">
                  <c:v>8066</c:v>
                </c:pt>
                <c:pt idx="12">
                  <c:v>10764</c:v>
                </c:pt>
                <c:pt idx="13">
                  <c:v>87642</c:v>
                </c:pt>
                <c:pt idx="14">
                  <c:v>57072</c:v>
                </c:pt>
                <c:pt idx="15">
                  <c:v>23926</c:v>
                </c:pt>
                <c:pt idx="16">
                  <c:v>24163</c:v>
                </c:pt>
                <c:pt idx="17">
                  <c:v>38062</c:v>
                </c:pt>
                <c:pt idx="18">
                  <c:v>33855</c:v>
                </c:pt>
                <c:pt idx="19">
                  <c:v>12151</c:v>
                </c:pt>
                <c:pt idx="20">
                  <c:v>41896</c:v>
                </c:pt>
                <c:pt idx="21">
                  <c:v>47348</c:v>
                </c:pt>
                <c:pt idx="22">
                  <c:v>84219</c:v>
                </c:pt>
                <c:pt idx="23">
                  <c:v>41162</c:v>
                </c:pt>
                <c:pt idx="24">
                  <c:v>26239</c:v>
                </c:pt>
                <c:pt idx="25">
                  <c:v>53254</c:v>
                </c:pt>
                <c:pt idx="26">
                  <c:v>8525</c:v>
                </c:pt>
                <c:pt idx="27">
                  <c:v>14621</c:v>
                </c:pt>
                <c:pt idx="28">
                  <c:v>10897</c:v>
                </c:pt>
                <c:pt idx="29">
                  <c:v>10067</c:v>
                </c:pt>
                <c:pt idx="30">
                  <c:v>59410</c:v>
                </c:pt>
                <c:pt idx="31">
                  <c:v>18452</c:v>
                </c:pt>
                <c:pt idx="32">
                  <c:v>109881</c:v>
                </c:pt>
                <c:pt idx="33">
                  <c:v>67538</c:v>
                </c:pt>
                <c:pt idx="34">
                  <c:v>6072</c:v>
                </c:pt>
                <c:pt idx="35">
                  <c:v>95221</c:v>
                </c:pt>
                <c:pt idx="36">
                  <c:v>35119</c:v>
                </c:pt>
                <c:pt idx="37">
                  <c:v>27926</c:v>
                </c:pt>
                <c:pt idx="38">
                  <c:v>89200</c:v>
                </c:pt>
                <c:pt idx="39">
                  <c:v>7559</c:v>
                </c:pt>
                <c:pt idx="40">
                  <c:v>35049</c:v>
                </c:pt>
                <c:pt idx="41">
                  <c:v>7218</c:v>
                </c:pt>
                <c:pt idx="42">
                  <c:v>49994</c:v>
                </c:pt>
                <c:pt idx="43">
                  <c:v>163329</c:v>
                </c:pt>
                <c:pt idx="44">
                  <c:v>16307</c:v>
                </c:pt>
                <c:pt idx="45">
                  <c:v>6019</c:v>
                </c:pt>
                <c:pt idx="46">
                  <c:v>63447</c:v>
                </c:pt>
                <c:pt idx="47">
                  <c:v>49386</c:v>
                </c:pt>
                <c:pt idx="48">
                  <c:v>16478</c:v>
                </c:pt>
                <c:pt idx="49">
                  <c:v>47628</c:v>
                </c:pt>
                <c:pt idx="50">
                  <c:v>6217</c:v>
                </c:pt>
              </c:numCache>
            </c:numRef>
          </c:xVal>
          <c:yVal>
            <c:numRef>
              <c:f>DUMMIES!$S$4:$S$54</c:f>
              <c:numCache>
                <c:formatCode>#,##0</c:formatCode>
                <c:ptCount val="51"/>
                <c:pt idx="0">
                  <c:v>434361</c:v>
                </c:pt>
                <c:pt idx="1">
                  <c:v>156897</c:v>
                </c:pt>
                <c:pt idx="2">
                  <c:v>164064</c:v>
                </c:pt>
                <c:pt idx="3">
                  <c:v>243921</c:v>
                </c:pt>
                <c:pt idx="4">
                  <c:v>1988584</c:v>
                </c:pt>
                <c:pt idx="5">
                  <c:v>365326</c:v>
                </c:pt>
                <c:pt idx="6">
                  <c:v>217091</c:v>
                </c:pt>
                <c:pt idx="7">
                  <c:v>63710</c:v>
                </c:pt>
                <c:pt idx="8">
                  <c:v>28536</c:v>
                </c:pt>
                <c:pt idx="9">
                  <c:v>649505</c:v>
                </c:pt>
                <c:pt idx="10">
                  <c:v>446538</c:v>
                </c:pt>
                <c:pt idx="11">
                  <c:v>70087</c:v>
                </c:pt>
                <c:pt idx="12">
                  <c:v>134567</c:v>
                </c:pt>
                <c:pt idx="13">
                  <c:v>993150</c:v>
                </c:pt>
                <c:pt idx="14">
                  <c:v>416477</c:v>
                </c:pt>
                <c:pt idx="15">
                  <c:v>417838</c:v>
                </c:pt>
                <c:pt idx="16">
                  <c:v>277164</c:v>
                </c:pt>
                <c:pt idx="17">
                  <c:v>263203</c:v>
                </c:pt>
                <c:pt idx="18">
                  <c:v>254019</c:v>
                </c:pt>
                <c:pt idx="19">
                  <c:v>213313</c:v>
                </c:pt>
                <c:pt idx="20">
                  <c:v>349237</c:v>
                </c:pt>
                <c:pt idx="21">
                  <c:v>390193</c:v>
                </c:pt>
                <c:pt idx="22">
                  <c:v>782040</c:v>
                </c:pt>
                <c:pt idx="23">
                  <c:v>541583</c:v>
                </c:pt>
                <c:pt idx="24">
                  <c:v>243481</c:v>
                </c:pt>
                <c:pt idx="25">
                  <c:v>433159</c:v>
                </c:pt>
                <c:pt idx="26">
                  <c:v>67621</c:v>
                </c:pt>
                <c:pt idx="27">
                  <c:v>179015</c:v>
                </c:pt>
                <c:pt idx="28">
                  <c:v>74470</c:v>
                </c:pt>
                <c:pt idx="29">
                  <c:v>165327</c:v>
                </c:pt>
                <c:pt idx="30">
                  <c:v>701627</c:v>
                </c:pt>
                <c:pt idx="31">
                  <c:v>107812</c:v>
                </c:pt>
                <c:pt idx="32">
                  <c:v>2446441</c:v>
                </c:pt>
                <c:pt idx="33">
                  <c:v>449754</c:v>
                </c:pt>
                <c:pt idx="34">
                  <c:v>86607</c:v>
                </c:pt>
                <c:pt idx="35">
                  <c:v>964768</c:v>
                </c:pt>
                <c:pt idx="36">
                  <c:v>206423</c:v>
                </c:pt>
                <c:pt idx="37">
                  <c:v>296451</c:v>
                </c:pt>
                <c:pt idx="38">
                  <c:v>1509092</c:v>
                </c:pt>
                <c:pt idx="39">
                  <c:v>40852</c:v>
                </c:pt>
                <c:pt idx="40">
                  <c:v>200199</c:v>
                </c:pt>
                <c:pt idx="41">
                  <c:v>105428</c:v>
                </c:pt>
                <c:pt idx="42">
                  <c:v>417781</c:v>
                </c:pt>
                <c:pt idx="43">
                  <c:v>1463095</c:v>
                </c:pt>
                <c:pt idx="44">
                  <c:v>133474</c:v>
                </c:pt>
                <c:pt idx="45">
                  <c:v>90151</c:v>
                </c:pt>
                <c:pt idx="46">
                  <c:v>655777</c:v>
                </c:pt>
                <c:pt idx="47">
                  <c:v>463608</c:v>
                </c:pt>
                <c:pt idx="48">
                  <c:v>209882</c:v>
                </c:pt>
                <c:pt idx="49">
                  <c:v>541402</c:v>
                </c:pt>
                <c:pt idx="50">
                  <c:v>87907</c:v>
                </c:pt>
              </c:numCache>
            </c:numRef>
          </c:yVal>
          <c:smooth val="0"/>
        </c:ser>
        <c:axId val="90095793"/>
        <c:axId val="80621295"/>
      </c:scatterChart>
      <c:valAx>
        <c:axId val="90095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VMT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621295"/>
        <c:crossesAt val="0"/>
        <c:crossBetween val="midCat"/>
      </c:valAx>
      <c:valAx>
        <c:axId val="806212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Expenditures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0095793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449826282444308"/>
          <c:y val="0.89379981368388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DD0806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534960</xdr:colOff>
      <xdr:row>56</xdr:row>
      <xdr:rowOff>28440</xdr:rowOff>
    </xdr:from>
    <xdr:to>
      <xdr:col>6</xdr:col>
      <xdr:colOff>720</xdr:colOff>
      <xdr:row>76</xdr:row>
      <xdr:rowOff>157680</xdr:rowOff>
    </xdr:to>
    <xdr:graphicFrame>
      <xdr:nvGraphicFramePr>
        <xdr:cNvPr id="1" name="Chart 1"/>
        <xdr:cNvGraphicFramePr/>
      </xdr:nvGraphicFramePr>
      <xdr:xfrm>
        <a:off x="534960" y="10447560"/>
        <a:ext cx="5066640" cy="385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136800</xdr:colOff>
      <xdr:row>56</xdr:row>
      <xdr:rowOff>128520</xdr:rowOff>
    </xdr:from>
    <xdr:to>
      <xdr:col>12</xdr:col>
      <xdr:colOff>872280</xdr:colOff>
      <xdr:row>77</xdr:row>
      <xdr:rowOff>157680</xdr:rowOff>
    </xdr:to>
    <xdr:graphicFrame>
      <xdr:nvGraphicFramePr>
        <xdr:cNvPr id="2" name="Chart 2"/>
        <xdr:cNvGraphicFramePr/>
      </xdr:nvGraphicFramePr>
      <xdr:xfrm>
        <a:off x="6670800" y="10547640"/>
        <a:ext cx="5402880" cy="393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24480</xdr:colOff>
      <xdr:row>0</xdr:row>
      <xdr:rowOff>28440</xdr:rowOff>
    </xdr:from>
    <xdr:to>
      <xdr:col>19</xdr:col>
      <xdr:colOff>623520</xdr:colOff>
      <xdr:row>20</xdr:row>
      <xdr:rowOff>114840</xdr:rowOff>
    </xdr:to>
    <xdr:graphicFrame>
      <xdr:nvGraphicFramePr>
        <xdr:cNvPr id="3" name="Chart 1"/>
        <xdr:cNvGraphicFramePr/>
      </xdr:nvGraphicFramePr>
      <xdr:xfrm>
        <a:off x="13092840" y="28440"/>
        <a:ext cx="5266080" cy="380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21</xdr:row>
      <xdr:rowOff>14760</xdr:rowOff>
    </xdr:from>
    <xdr:to>
      <xdr:col>19</xdr:col>
      <xdr:colOff>610920</xdr:colOff>
      <xdr:row>40</xdr:row>
      <xdr:rowOff>128520</xdr:rowOff>
    </xdr:to>
    <xdr:graphicFrame>
      <xdr:nvGraphicFramePr>
        <xdr:cNvPr id="4" name="Chart 2"/>
        <xdr:cNvGraphicFramePr/>
      </xdr:nvGraphicFramePr>
      <xdr:xfrm>
        <a:off x="13068360" y="3921840"/>
        <a:ext cx="5277960" cy="364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385560</xdr:colOff>
      <xdr:row>3</xdr:row>
      <xdr:rowOff>43200</xdr:rowOff>
    </xdr:from>
    <xdr:to>
      <xdr:col>17</xdr:col>
      <xdr:colOff>399240</xdr:colOff>
      <xdr:row>3</xdr:row>
      <xdr:rowOff>71280</xdr:rowOff>
    </xdr:to>
    <xdr:graphicFrame>
      <xdr:nvGraphicFramePr>
        <xdr:cNvPr id="5" name="Chart 1"/>
        <xdr:cNvGraphicFramePr/>
      </xdr:nvGraphicFramePr>
      <xdr:xfrm>
        <a:off x="16254360" y="601200"/>
        <a:ext cx="13680" cy="2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361080</xdr:colOff>
      <xdr:row>2</xdr:row>
      <xdr:rowOff>57240</xdr:rowOff>
    </xdr:from>
    <xdr:to>
      <xdr:col>27</xdr:col>
      <xdr:colOff>872280</xdr:colOff>
      <xdr:row>20</xdr:row>
      <xdr:rowOff>186120</xdr:rowOff>
    </xdr:to>
    <xdr:graphicFrame>
      <xdr:nvGraphicFramePr>
        <xdr:cNvPr id="6" name="Chart 2"/>
        <xdr:cNvGraphicFramePr/>
      </xdr:nvGraphicFramePr>
      <xdr:xfrm>
        <a:off x="19029960" y="429480"/>
        <a:ext cx="7045560" cy="347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customFormat="false" ht="14.65" hidden="false" customHeight="false" outlineLevel="0" collapsed="false">
      <c r="A2" s="4" t="s">
        <v>8</v>
      </c>
      <c r="B2" s="2" t="n">
        <v>4089</v>
      </c>
      <c r="C2" s="2" t="n">
        <v>52423</v>
      </c>
      <c r="D2" s="2" t="n">
        <v>78.0001144535795</v>
      </c>
      <c r="E2" s="3" t="n">
        <v>470232</v>
      </c>
      <c r="F2" s="3" t="n">
        <v>92209</v>
      </c>
      <c r="G2" s="3" t="n">
        <v>92201</v>
      </c>
      <c r="H2" s="3" t="n">
        <v>8</v>
      </c>
      <c r="I2" s="3" t="n">
        <v>58779</v>
      </c>
    </row>
    <row r="3" customFormat="false" ht="14.65" hidden="false" customHeight="false" outlineLevel="0" collapsed="false">
      <c r="A3" s="4" t="s">
        <v>9</v>
      </c>
      <c r="B3" s="2" t="n">
        <v>570</v>
      </c>
      <c r="C3" s="2" t="n">
        <v>591004</v>
      </c>
      <c r="D3" s="2" t="n">
        <v>0.964460477424857</v>
      </c>
      <c r="E3" s="3" t="n">
        <v>242000</v>
      </c>
      <c r="F3" s="3" t="n">
        <v>13849</v>
      </c>
      <c r="G3" s="3" t="n">
        <v>13634</v>
      </c>
      <c r="H3" s="3" t="n">
        <v>215</v>
      </c>
      <c r="I3" s="3" t="n">
        <v>1125.58139534884</v>
      </c>
    </row>
    <row r="4" customFormat="false" ht="14.65" hidden="false" customHeight="false" outlineLevel="0" collapsed="false">
      <c r="A4" s="4" t="s">
        <v>10</v>
      </c>
      <c r="B4" s="2" t="n">
        <v>3750</v>
      </c>
      <c r="C4" s="2" t="n">
        <v>114006</v>
      </c>
      <c r="D4" s="2" t="n">
        <v>32.8930056312826</v>
      </c>
      <c r="E4" s="3" t="n">
        <v>480799</v>
      </c>
      <c r="F4" s="3" t="n">
        <v>55763</v>
      </c>
      <c r="G4" s="3" t="n">
        <v>55969</v>
      </c>
      <c r="H4" s="3" t="n">
        <v>-206</v>
      </c>
      <c r="I4" s="3" t="n">
        <v>-2333.97572815534</v>
      </c>
    </row>
    <row r="5" customFormat="false" ht="14.65" hidden="false" customHeight="false" outlineLevel="0" collapsed="false">
      <c r="A5" s="4" t="s">
        <v>11</v>
      </c>
      <c r="B5" s="2" t="n">
        <v>2372</v>
      </c>
      <c r="C5" s="2" t="n">
        <v>53182</v>
      </c>
      <c r="D5" s="2" t="n">
        <v>44.6015569177541</v>
      </c>
      <c r="E5" s="3" t="n">
        <v>362332</v>
      </c>
      <c r="F5" s="3" t="n">
        <v>77192</v>
      </c>
      <c r="G5" s="3" t="n">
        <v>77162</v>
      </c>
      <c r="H5" s="3" t="n">
        <v>30</v>
      </c>
      <c r="I5" s="3" t="n">
        <v>12077.7333333333</v>
      </c>
    </row>
    <row r="6" customFormat="false" ht="14.65" hidden="false" customHeight="false" outlineLevel="0" collapsed="false">
      <c r="A6" s="5" t="s">
        <v>12</v>
      </c>
      <c r="B6" s="2" t="n">
        <v>30380</v>
      </c>
      <c r="C6" s="2" t="n">
        <v>163707</v>
      </c>
      <c r="D6" s="2" t="n">
        <v>185.575448820148</v>
      </c>
      <c r="E6" s="3" t="n">
        <v>2135323</v>
      </c>
      <c r="F6" s="3" t="n">
        <v>169201</v>
      </c>
      <c r="G6" s="3" t="n">
        <v>168378</v>
      </c>
      <c r="H6" s="3" t="n">
        <v>823</v>
      </c>
      <c r="I6" s="3" t="n">
        <v>2594.56014580802</v>
      </c>
    </row>
    <row r="7" customFormat="false" ht="14.65" hidden="false" customHeight="false" outlineLevel="0" collapsed="false">
      <c r="A7" s="4" t="s">
        <v>13</v>
      </c>
      <c r="B7" s="2" t="n">
        <v>3377</v>
      </c>
      <c r="C7" s="2" t="n">
        <v>104091</v>
      </c>
      <c r="D7" s="2" t="n">
        <v>32.4427664255315</v>
      </c>
      <c r="E7" s="3" t="n">
        <v>341276</v>
      </c>
      <c r="F7" s="3" t="n">
        <v>78721</v>
      </c>
      <c r="G7" s="3" t="n">
        <v>78043</v>
      </c>
      <c r="H7" s="3" t="n">
        <v>678</v>
      </c>
      <c r="I7" s="3" t="n">
        <v>503.356932153392</v>
      </c>
    </row>
    <row r="8" customFormat="false" ht="14.65" hidden="false" customHeight="false" outlineLevel="0" collapsed="false">
      <c r="A8" s="4" t="s">
        <v>14</v>
      </c>
      <c r="B8" s="2" t="n">
        <v>3291</v>
      </c>
      <c r="C8" s="2" t="n">
        <v>5544</v>
      </c>
      <c r="D8" s="2" t="n">
        <v>593.614718614719</v>
      </c>
      <c r="E8" s="3" t="n">
        <v>588122</v>
      </c>
      <c r="F8" s="3" t="n">
        <v>20357</v>
      </c>
      <c r="G8" s="3" t="n">
        <v>20280</v>
      </c>
      <c r="H8" s="3" t="n">
        <v>77</v>
      </c>
      <c r="I8" s="3" t="n">
        <v>7637.94805194805</v>
      </c>
    </row>
    <row r="9" customFormat="false" ht="14.65" hidden="false" customHeight="false" outlineLevel="0" collapsed="false">
      <c r="A9" s="4" t="s">
        <v>15</v>
      </c>
      <c r="B9" s="2" t="n">
        <v>680</v>
      </c>
      <c r="C9" s="2" t="n">
        <v>2489</v>
      </c>
      <c r="D9" s="2" t="n">
        <v>273.202089192447</v>
      </c>
      <c r="E9" s="3" t="n">
        <v>205535</v>
      </c>
      <c r="F9" s="3" t="n">
        <v>5544</v>
      </c>
      <c r="G9" s="3" t="n">
        <v>5524</v>
      </c>
      <c r="H9" s="3" t="n">
        <v>20</v>
      </c>
      <c r="I9" s="3" t="n">
        <v>10276.75</v>
      </c>
    </row>
    <row r="10" customFormat="false" ht="14.65" hidden="false" customHeight="false" outlineLevel="0" collapsed="false">
      <c r="A10" s="5" t="s">
        <v>16</v>
      </c>
      <c r="B10" s="2" t="n">
        <v>598</v>
      </c>
      <c r="C10" s="2" t="n">
        <v>67</v>
      </c>
      <c r="D10" s="2" t="n">
        <v>8925.37313432836</v>
      </c>
      <c r="E10" s="3" t="n">
        <v>108194</v>
      </c>
      <c r="F10" s="3" t="n">
        <v>1107</v>
      </c>
      <c r="G10" s="3" t="n">
        <v>1104</v>
      </c>
      <c r="H10" s="3" t="n">
        <v>3</v>
      </c>
      <c r="I10" s="3" t="n">
        <v>36064.6666666667</v>
      </c>
    </row>
    <row r="11" customFormat="false" ht="14.65" hidden="false" customHeight="false" outlineLevel="0" collapsed="false">
      <c r="A11" s="4" t="s">
        <v>17</v>
      </c>
      <c r="B11" s="2" t="n">
        <v>13277</v>
      </c>
      <c r="C11" s="2" t="n">
        <v>65758</v>
      </c>
      <c r="D11" s="2" t="n">
        <v>201.906992305119</v>
      </c>
      <c r="E11" s="3" t="n">
        <v>1684969</v>
      </c>
      <c r="F11" s="3" t="n">
        <v>112808</v>
      </c>
      <c r="G11" s="3" t="n">
        <v>110640</v>
      </c>
      <c r="H11" s="3" t="n">
        <v>2168</v>
      </c>
      <c r="I11" s="3" t="n">
        <v>777.199723247232</v>
      </c>
    </row>
    <row r="12" customFormat="false" ht="14.65" hidden="false" customHeight="false" outlineLevel="0" collapsed="false">
      <c r="A12" s="4" t="s">
        <v>18</v>
      </c>
      <c r="B12" s="2" t="n">
        <v>6623</v>
      </c>
      <c r="C12" s="2" t="n">
        <v>59441</v>
      </c>
      <c r="D12" s="2" t="n">
        <v>111.421409464848</v>
      </c>
      <c r="E12" s="3" t="n">
        <v>737696</v>
      </c>
      <c r="F12" s="3" t="n">
        <v>110879</v>
      </c>
      <c r="G12" s="3" t="n">
        <v>110790</v>
      </c>
      <c r="H12" s="3" t="n">
        <v>89</v>
      </c>
      <c r="I12" s="3" t="n">
        <v>8288.7191011236</v>
      </c>
    </row>
    <row r="13" customFormat="false" ht="14.65" hidden="false" customHeight="false" outlineLevel="0" collapsed="false">
      <c r="A13" s="4" t="s">
        <v>19</v>
      </c>
      <c r="B13" s="2" t="n">
        <v>1135</v>
      </c>
      <c r="C13" s="2" t="n">
        <v>6470</v>
      </c>
      <c r="D13" s="2" t="n">
        <v>175.425038639876</v>
      </c>
      <c r="E13" s="3" t="n">
        <v>303746</v>
      </c>
      <c r="F13" s="3" t="n">
        <v>4106</v>
      </c>
      <c r="G13" s="3" t="n">
        <v>4106</v>
      </c>
      <c r="H13" s="3" t="n">
        <v>0</v>
      </c>
      <c r="I13" s="3" t="s">
        <v>20</v>
      </c>
    </row>
    <row r="14" customFormat="false" ht="14.65" hidden="false" customHeight="false" outlineLevel="0" collapsed="false">
      <c r="A14" s="5" t="s">
        <v>21</v>
      </c>
      <c r="B14" s="2" t="n">
        <v>1039</v>
      </c>
      <c r="C14" s="2" t="n">
        <v>83574</v>
      </c>
      <c r="D14" s="2" t="n">
        <v>12.4320961064446</v>
      </c>
      <c r="E14" s="3" t="n">
        <v>124933</v>
      </c>
      <c r="F14" s="3" t="n">
        <v>58835</v>
      </c>
      <c r="G14" s="3" t="n">
        <v>58588</v>
      </c>
      <c r="H14" s="3" t="n">
        <v>247</v>
      </c>
      <c r="I14" s="3" t="n">
        <v>505.801619433198</v>
      </c>
    </row>
    <row r="15" customFormat="false" ht="14.65" hidden="false" customHeight="false" outlineLevel="0" collapsed="false">
      <c r="A15" s="4" t="s">
        <v>22</v>
      </c>
      <c r="B15" s="2" t="n">
        <v>11543</v>
      </c>
      <c r="C15" s="2" t="n">
        <v>57918</v>
      </c>
      <c r="D15" s="2" t="n">
        <v>199.299008943679</v>
      </c>
      <c r="E15" s="3" t="n">
        <v>1469756</v>
      </c>
      <c r="F15" s="3" t="n">
        <v>136965</v>
      </c>
      <c r="G15" s="3" t="n">
        <v>136402</v>
      </c>
      <c r="H15" s="3" t="n">
        <v>563</v>
      </c>
      <c r="I15" s="3" t="n">
        <v>2610.57904085258</v>
      </c>
    </row>
    <row r="16" customFormat="false" ht="14.65" hidden="false" customHeight="false" outlineLevel="0" collapsed="false">
      <c r="A16" s="4" t="s">
        <v>23</v>
      </c>
      <c r="B16" s="2" t="n">
        <v>5610</v>
      </c>
      <c r="C16" s="2" t="n">
        <v>36420</v>
      </c>
      <c r="D16" s="2" t="n">
        <v>154.036243822076</v>
      </c>
      <c r="E16" s="3" t="n">
        <v>635631</v>
      </c>
      <c r="F16" s="3" t="n">
        <v>92374</v>
      </c>
      <c r="G16" s="3" t="n">
        <v>92054</v>
      </c>
      <c r="H16" s="3" t="n">
        <v>320</v>
      </c>
      <c r="I16" s="3" t="n">
        <v>1986.346875</v>
      </c>
    </row>
    <row r="17" customFormat="false" ht="14.65" hidden="false" customHeight="false" outlineLevel="0" collapsed="false">
      <c r="A17" s="4" t="s">
        <v>24</v>
      </c>
      <c r="B17" s="2" t="n">
        <v>2795</v>
      </c>
      <c r="C17" s="2" t="n">
        <v>56276</v>
      </c>
      <c r="D17" s="2" t="n">
        <v>49.6659321913427</v>
      </c>
      <c r="E17" s="3" t="n">
        <v>412640</v>
      </c>
      <c r="F17" s="3" t="n">
        <v>112708</v>
      </c>
      <c r="G17" s="3" t="n">
        <v>112586</v>
      </c>
      <c r="H17" s="3" t="n">
        <v>122</v>
      </c>
      <c r="I17" s="3" t="n">
        <v>3382.29508196721</v>
      </c>
    </row>
    <row r="18" customFormat="false" ht="14.65" hidden="false" customHeight="false" outlineLevel="0" collapsed="false">
      <c r="A18" s="5" t="s">
        <v>25</v>
      </c>
      <c r="B18" s="2" t="n">
        <v>2495</v>
      </c>
      <c r="C18" s="2" t="n">
        <v>82282</v>
      </c>
      <c r="D18" s="2" t="n">
        <v>30.3225492817384</v>
      </c>
      <c r="E18" s="3" t="n">
        <v>433598</v>
      </c>
      <c r="F18" s="3" t="n">
        <v>133256</v>
      </c>
      <c r="G18" s="3" t="n">
        <v>133655</v>
      </c>
      <c r="H18" s="3" t="n">
        <v>-399</v>
      </c>
      <c r="I18" s="3" t="n">
        <v>-1086.71177944862</v>
      </c>
    </row>
    <row r="19" customFormat="false" ht="14.65" hidden="false" customHeight="false" outlineLevel="0" collapsed="false">
      <c r="A19" s="4" t="s">
        <v>26</v>
      </c>
      <c r="B19" s="2" t="n">
        <v>3713</v>
      </c>
      <c r="C19" s="2" t="n">
        <v>40411</v>
      </c>
      <c r="D19" s="2" t="n">
        <v>91.8809235109252</v>
      </c>
      <c r="E19" s="3" t="s">
        <v>20</v>
      </c>
      <c r="F19" s="3" t="n">
        <v>72632</v>
      </c>
      <c r="G19" s="3" t="n">
        <v>71765</v>
      </c>
      <c r="H19" s="3" t="n">
        <v>867</v>
      </c>
      <c r="I19" s="3" t="s">
        <v>20</v>
      </c>
    </row>
    <row r="20" customFormat="false" ht="14.65" hidden="false" customHeight="false" outlineLevel="0" collapsed="false">
      <c r="A20" s="4" t="s">
        <v>27</v>
      </c>
      <c r="B20" s="2" t="n">
        <v>4252</v>
      </c>
      <c r="C20" s="2" t="n">
        <v>51843</v>
      </c>
      <c r="D20" s="2" t="n">
        <v>82.0168585922883</v>
      </c>
      <c r="E20" s="3" t="n">
        <v>598835</v>
      </c>
      <c r="F20" s="3" t="n">
        <v>59599</v>
      </c>
      <c r="G20" s="3" t="n">
        <v>58629</v>
      </c>
      <c r="H20" s="3" t="n">
        <v>970</v>
      </c>
      <c r="I20" s="3" t="n">
        <v>617.355670103093</v>
      </c>
    </row>
    <row r="21" customFormat="false" ht="14.65" hidden="false" customHeight="false" outlineLevel="0" collapsed="false">
      <c r="A21" s="4" t="s">
        <v>28</v>
      </c>
      <c r="B21" s="2" t="n">
        <v>1235</v>
      </c>
      <c r="C21" s="2" t="n">
        <v>35387</v>
      </c>
      <c r="D21" s="2" t="n">
        <v>34.8998219685195</v>
      </c>
      <c r="E21" s="3" t="n">
        <v>138465</v>
      </c>
      <c r="F21" s="3" t="n">
        <v>22510</v>
      </c>
      <c r="G21" s="3" t="n">
        <v>22481</v>
      </c>
      <c r="H21" s="3" t="n">
        <v>29</v>
      </c>
      <c r="I21" s="3" t="n">
        <v>4774.65517241379</v>
      </c>
    </row>
    <row r="22" customFormat="false" ht="14.65" hidden="false" customHeight="false" outlineLevel="0" collapsed="false">
      <c r="A22" s="5" t="s">
        <v>29</v>
      </c>
      <c r="B22" s="2" t="n">
        <v>4860</v>
      </c>
      <c r="C22" s="2" t="n">
        <v>12407</v>
      </c>
      <c r="D22" s="2" t="n">
        <v>391.71435479971</v>
      </c>
      <c r="E22" s="3" t="n">
        <v>471633</v>
      </c>
      <c r="F22" s="3" t="n">
        <v>29313</v>
      </c>
      <c r="G22" s="3" t="n">
        <v>29172</v>
      </c>
      <c r="H22" s="3" t="n">
        <v>141</v>
      </c>
      <c r="I22" s="3" t="n">
        <v>3344.91489361702</v>
      </c>
    </row>
    <row r="23" customFormat="false" ht="14.65" hidden="false" customHeight="false" outlineLevel="0" collapsed="false">
      <c r="A23" s="4" t="s">
        <v>30</v>
      </c>
      <c r="B23" s="2" t="n">
        <v>5996</v>
      </c>
      <c r="C23" s="2" t="n">
        <v>10555</v>
      </c>
      <c r="D23" s="2" t="n">
        <v>568.072003789673</v>
      </c>
      <c r="E23" s="3" t="s">
        <v>20</v>
      </c>
      <c r="F23" s="3" t="n">
        <v>30563</v>
      </c>
      <c r="G23" s="3" t="n">
        <v>34323</v>
      </c>
      <c r="H23" s="3" t="n">
        <v>-3760</v>
      </c>
      <c r="I23" s="3" t="s">
        <v>20</v>
      </c>
    </row>
    <row r="24" customFormat="false" ht="14.65" hidden="false" customHeight="false" outlineLevel="0" collapsed="false">
      <c r="A24" s="4" t="s">
        <v>31</v>
      </c>
      <c r="B24" s="2" t="n">
        <v>9368</v>
      </c>
      <c r="C24" s="2" t="n">
        <v>96810</v>
      </c>
      <c r="D24" s="2" t="n">
        <v>96.7668629273835</v>
      </c>
      <c r="E24" s="3" t="n">
        <v>561494</v>
      </c>
      <c r="F24" s="3" t="n">
        <v>117659</v>
      </c>
      <c r="G24" s="3" t="n">
        <v>117520</v>
      </c>
      <c r="H24" s="3" t="n">
        <v>139</v>
      </c>
      <c r="I24" s="3" t="n">
        <v>4039.52517985612</v>
      </c>
    </row>
    <row r="25" customFormat="false" ht="14.65" hidden="false" customHeight="false" outlineLevel="0" collapsed="false">
      <c r="A25" s="4" t="s">
        <v>32</v>
      </c>
      <c r="B25" s="2" t="n">
        <v>4432</v>
      </c>
      <c r="C25" s="2" t="n">
        <v>86943</v>
      </c>
      <c r="D25" s="2" t="n">
        <v>50.9759267566107</v>
      </c>
      <c r="E25" s="3" t="n">
        <v>608127</v>
      </c>
      <c r="F25" s="3" t="n">
        <v>129959</v>
      </c>
      <c r="G25" s="3" t="n">
        <v>129622</v>
      </c>
      <c r="H25" s="3" t="n">
        <v>337</v>
      </c>
      <c r="I25" s="3" t="n">
        <v>1804.53115727003</v>
      </c>
    </row>
    <row r="26" customFormat="false" ht="14.65" hidden="false" customHeight="false" outlineLevel="0" collapsed="false">
      <c r="A26" s="5" t="s">
        <v>33</v>
      </c>
      <c r="B26" s="2" t="n">
        <v>2592</v>
      </c>
      <c r="C26" s="2" t="n">
        <v>48434</v>
      </c>
      <c r="D26" s="2" t="n">
        <v>53.5161250361316</v>
      </c>
      <c r="E26" s="3" t="n">
        <v>433576</v>
      </c>
      <c r="F26" s="3" t="n">
        <v>72834</v>
      </c>
      <c r="G26" s="3" t="n">
        <v>72795</v>
      </c>
      <c r="H26" s="3" t="n">
        <v>39</v>
      </c>
      <c r="I26" s="3" t="n">
        <v>11117.3333333333</v>
      </c>
    </row>
    <row r="27" customFormat="false" ht="14.65" hidden="false" customHeight="false" outlineLevel="0" collapsed="false">
      <c r="A27" s="4" t="s">
        <v>34</v>
      </c>
      <c r="B27" s="2" t="n">
        <v>5158</v>
      </c>
      <c r="C27" s="2" t="n">
        <v>69709</v>
      </c>
      <c r="D27" s="2" t="n">
        <v>73.9933150669211</v>
      </c>
      <c r="E27" s="3" t="n">
        <v>500132</v>
      </c>
      <c r="F27" s="3" t="n">
        <v>121787</v>
      </c>
      <c r="G27" s="3" t="n">
        <v>121424</v>
      </c>
      <c r="H27" s="3" t="n">
        <v>363</v>
      </c>
      <c r="I27" s="3" t="n">
        <v>1377.7741046832</v>
      </c>
    </row>
    <row r="28" customFormat="false" ht="14.65" hidden="false" customHeight="false" outlineLevel="0" collapsed="false">
      <c r="A28" s="4" t="s">
        <v>35</v>
      </c>
      <c r="B28" s="2" t="n">
        <v>808</v>
      </c>
      <c r="C28" s="2" t="n">
        <v>147046</v>
      </c>
      <c r="D28" s="2" t="n">
        <v>5.49487915346218</v>
      </c>
      <c r="E28" s="3" t="n">
        <v>190349</v>
      </c>
      <c r="F28" s="3" t="n">
        <v>69768</v>
      </c>
      <c r="G28" s="3" t="n">
        <v>70357</v>
      </c>
      <c r="H28" s="3" t="n">
        <v>-589</v>
      </c>
      <c r="I28" s="3" t="n">
        <v>-323.173174872666</v>
      </c>
    </row>
    <row r="29" customFormat="false" ht="14.65" hidden="false" customHeight="false" outlineLevel="0" collapsed="false">
      <c r="A29" s="4" t="s">
        <v>36</v>
      </c>
      <c r="B29" s="2" t="n">
        <v>1593</v>
      </c>
      <c r="C29" s="2" t="n">
        <v>77355</v>
      </c>
      <c r="D29" s="2" t="n">
        <v>20.5933682373473</v>
      </c>
      <c r="E29" s="3" t="n">
        <v>272526</v>
      </c>
      <c r="F29" s="3" t="n">
        <v>92702</v>
      </c>
      <c r="G29" s="3" t="n">
        <v>92686</v>
      </c>
      <c r="H29" s="3" t="n">
        <v>16</v>
      </c>
      <c r="I29" s="3" t="n">
        <v>17032.875</v>
      </c>
    </row>
    <row r="30" customFormat="false" ht="14.65" hidden="false" customHeight="false" outlineLevel="0" collapsed="false">
      <c r="A30" s="5" t="s">
        <v>37</v>
      </c>
      <c r="B30" s="2" t="n">
        <v>1284</v>
      </c>
      <c r="C30" s="2" t="n">
        <v>110567</v>
      </c>
      <c r="D30" s="2" t="n">
        <v>11.612868215652</v>
      </c>
      <c r="E30" s="3" t="s">
        <v>20</v>
      </c>
      <c r="F30" s="3" t="n">
        <v>45778</v>
      </c>
      <c r="G30" s="3" t="n">
        <v>45657</v>
      </c>
      <c r="H30" s="3" t="n">
        <v>121</v>
      </c>
      <c r="I30" s="3" t="s">
        <v>20</v>
      </c>
    </row>
    <row r="31" customFormat="false" ht="14.65" hidden="false" customHeight="false" outlineLevel="0" collapsed="false">
      <c r="A31" s="4" t="s">
        <v>38</v>
      </c>
      <c r="B31" s="2" t="n">
        <v>1105</v>
      </c>
      <c r="C31" s="2" t="n">
        <v>9351</v>
      </c>
      <c r="D31" s="2" t="n">
        <v>118.16917976687</v>
      </c>
      <c r="E31" s="3" t="n">
        <v>171552</v>
      </c>
      <c r="F31" s="3" t="n">
        <v>14938</v>
      </c>
      <c r="G31" s="3" t="n">
        <v>14913</v>
      </c>
      <c r="H31" s="3" t="n">
        <v>25</v>
      </c>
      <c r="I31" s="3" t="n">
        <v>6862.08</v>
      </c>
    </row>
    <row r="32" customFormat="false" ht="14.65" hidden="false" customHeight="false" outlineLevel="0" collapsed="false">
      <c r="A32" s="4" t="s">
        <v>39</v>
      </c>
      <c r="B32" s="2" t="n">
        <v>7760</v>
      </c>
      <c r="C32" s="2" t="n">
        <v>8722</v>
      </c>
      <c r="D32" s="2" t="n">
        <v>889.704196285256</v>
      </c>
      <c r="E32" s="3" t="n">
        <v>1041696</v>
      </c>
      <c r="F32" s="3" t="n">
        <v>35097</v>
      </c>
      <c r="G32" s="3" t="n">
        <v>34286</v>
      </c>
      <c r="H32" s="3" t="n">
        <v>811</v>
      </c>
      <c r="I32" s="3" t="n">
        <v>1284.45869297164</v>
      </c>
    </row>
    <row r="33" customFormat="false" ht="14.65" hidden="false" customHeight="false" outlineLevel="0" collapsed="false">
      <c r="A33" s="4" t="s">
        <v>40</v>
      </c>
      <c r="B33" s="2" t="n">
        <v>1548</v>
      </c>
      <c r="C33" s="2" t="n">
        <v>121598</v>
      </c>
      <c r="D33" s="2" t="n">
        <v>12.7304725406668</v>
      </c>
      <c r="E33" s="3" t="n">
        <v>316817</v>
      </c>
      <c r="F33" s="3" t="n">
        <v>60812</v>
      </c>
      <c r="G33" s="3" t="n">
        <v>61195</v>
      </c>
      <c r="H33" s="3" t="n">
        <v>-383</v>
      </c>
      <c r="I33" s="3" t="n">
        <v>-827.198433420366</v>
      </c>
    </row>
    <row r="34" customFormat="false" ht="14.65" hidden="false" customHeight="false" outlineLevel="0" collapsed="false">
      <c r="A34" s="5" t="s">
        <v>41</v>
      </c>
      <c r="B34" s="2" t="n">
        <v>18058</v>
      </c>
      <c r="C34" s="2" t="n">
        <v>54475</v>
      </c>
      <c r="D34" s="2" t="n">
        <v>331.491509866911</v>
      </c>
      <c r="E34" s="3" t="n">
        <v>2205223</v>
      </c>
      <c r="F34" s="3" t="n">
        <v>111882</v>
      </c>
      <c r="G34" s="3" t="n">
        <v>111686</v>
      </c>
      <c r="H34" s="3" t="n">
        <v>196</v>
      </c>
      <c r="I34" s="3" t="n">
        <v>11251.137755102</v>
      </c>
    </row>
    <row r="35" customFormat="false" ht="14.65" hidden="false" customHeight="false" outlineLevel="0" collapsed="false">
      <c r="A35" s="4" t="s">
        <v>42</v>
      </c>
      <c r="B35" s="2" t="n">
        <v>6737</v>
      </c>
      <c r="C35" s="2" t="n">
        <v>53821</v>
      </c>
      <c r="D35" s="2" t="n">
        <v>125.174188513777</v>
      </c>
      <c r="E35" s="3" t="n">
        <v>820790</v>
      </c>
      <c r="F35" s="3" t="n">
        <v>96028</v>
      </c>
      <c r="G35" s="3" t="n">
        <v>95582</v>
      </c>
      <c r="H35" s="3" t="n">
        <v>446</v>
      </c>
      <c r="I35" s="3" t="n">
        <v>1840.33632286996</v>
      </c>
    </row>
    <row r="36" customFormat="false" ht="14.65" hidden="false" customHeight="false" outlineLevel="0" collapsed="false">
      <c r="A36" s="4" t="s">
        <v>43</v>
      </c>
      <c r="B36" s="2" t="n">
        <v>635</v>
      </c>
      <c r="C36" s="2" t="n">
        <v>70704</v>
      </c>
      <c r="D36" s="2" t="n">
        <v>8.98110432224485</v>
      </c>
      <c r="E36" s="3" t="n">
        <v>123086</v>
      </c>
      <c r="F36" s="3" t="n">
        <v>86727</v>
      </c>
      <c r="G36" s="3" t="n">
        <v>86648</v>
      </c>
      <c r="H36" s="3" t="n">
        <v>79</v>
      </c>
      <c r="I36" s="3" t="n">
        <v>1558.05063291139</v>
      </c>
    </row>
    <row r="37" customFormat="false" ht="14.65" hidden="false" customHeight="false" outlineLevel="0" collapsed="false">
      <c r="A37" s="4" t="s">
        <v>44</v>
      </c>
      <c r="B37" s="2" t="n">
        <v>10939</v>
      </c>
      <c r="C37" s="2" t="n">
        <v>44828</v>
      </c>
      <c r="D37" s="2" t="n">
        <v>244.021593646828</v>
      </c>
      <c r="E37" s="3" t="n">
        <v>822230</v>
      </c>
      <c r="F37" s="3" t="n">
        <v>113823</v>
      </c>
      <c r="G37" s="3" t="n">
        <v>113823</v>
      </c>
      <c r="H37" s="3" t="n">
        <v>0</v>
      </c>
      <c r="I37" s="3" t="s">
        <v>20</v>
      </c>
    </row>
    <row r="38" customFormat="false" ht="14.65" hidden="false" customHeight="false" outlineLevel="0" collapsed="false">
      <c r="A38" s="5" t="s">
        <v>45</v>
      </c>
      <c r="B38" s="2" t="n">
        <v>3175</v>
      </c>
      <c r="C38" s="2" t="n">
        <v>69903</v>
      </c>
      <c r="D38" s="2" t="n">
        <v>45.4200821137862</v>
      </c>
      <c r="E38" s="3" t="n">
        <v>333481</v>
      </c>
      <c r="F38" s="3" t="n">
        <v>112467</v>
      </c>
      <c r="G38" s="3" t="n">
        <v>112432</v>
      </c>
      <c r="H38" s="3" t="n">
        <v>35</v>
      </c>
      <c r="I38" s="3" t="n">
        <v>9528.02857142857</v>
      </c>
    </row>
    <row r="39" customFormat="false" ht="14.65" hidden="false" customHeight="false" outlineLevel="0" collapsed="false">
      <c r="A39" s="4" t="s">
        <v>46</v>
      </c>
      <c r="B39" s="2" t="n">
        <v>2922</v>
      </c>
      <c r="C39" s="2" t="n">
        <v>98386</v>
      </c>
      <c r="D39" s="2" t="n">
        <v>29.6993474681357</v>
      </c>
      <c r="E39" s="3" t="n">
        <v>317143</v>
      </c>
      <c r="F39" s="3" t="n">
        <v>96036</v>
      </c>
      <c r="G39" s="3" t="n">
        <v>95237</v>
      </c>
      <c r="H39" s="3" t="n">
        <v>799</v>
      </c>
      <c r="I39" s="3" t="n">
        <v>396.924906132666</v>
      </c>
    </row>
    <row r="40" customFormat="false" ht="14.65" hidden="false" customHeight="false" outlineLevel="0" collapsed="false">
      <c r="A40" s="4" t="s">
        <v>47</v>
      </c>
      <c r="B40" s="2" t="n">
        <v>11961</v>
      </c>
      <c r="C40" s="2" t="n">
        <v>46058</v>
      </c>
      <c r="D40" s="2" t="n">
        <v>259.694298493204</v>
      </c>
      <c r="E40" s="3" t="n">
        <v>1285147</v>
      </c>
      <c r="F40" s="3" t="n">
        <v>117038</v>
      </c>
      <c r="G40" s="3" t="n">
        <v>116788</v>
      </c>
      <c r="H40" s="3" t="n">
        <v>250</v>
      </c>
      <c r="I40" s="3" t="n">
        <v>5140.588</v>
      </c>
    </row>
    <row r="41" customFormat="false" ht="14.65" hidden="false" customHeight="false" outlineLevel="0" collapsed="false">
      <c r="A41" s="4" t="s">
        <v>48</v>
      </c>
      <c r="B41" s="2" t="n">
        <v>1004</v>
      </c>
      <c r="C41" s="2" t="n">
        <v>1545</v>
      </c>
      <c r="D41" s="2" t="n">
        <v>649.838187702265</v>
      </c>
      <c r="E41" s="3" t="n">
        <v>221563</v>
      </c>
      <c r="F41" s="3" t="n">
        <v>6057</v>
      </c>
      <c r="G41" s="3" t="n">
        <v>6120</v>
      </c>
      <c r="H41" s="3" t="n">
        <v>-63</v>
      </c>
      <c r="I41" s="3" t="n">
        <v>-3516.87301587302</v>
      </c>
    </row>
    <row r="42" customFormat="false" ht="14.65" hidden="false" customHeight="false" outlineLevel="0" collapsed="false">
      <c r="A42" s="5" t="s">
        <v>49</v>
      </c>
      <c r="B42" s="2" t="n">
        <v>3560</v>
      </c>
      <c r="C42" s="2" t="n">
        <v>32007</v>
      </c>
      <c r="D42" s="2" t="n">
        <v>111.225669384822</v>
      </c>
      <c r="E42" s="3" t="n">
        <v>406976</v>
      </c>
      <c r="F42" s="3" t="n">
        <v>64158</v>
      </c>
      <c r="G42" s="3" t="n">
        <v>64129</v>
      </c>
      <c r="H42" s="3" t="n">
        <v>29</v>
      </c>
      <c r="I42" s="3" t="n">
        <v>14033.6551724138</v>
      </c>
    </row>
    <row r="43" customFormat="false" ht="14.65" hidden="false" customHeight="false" outlineLevel="0" collapsed="false">
      <c r="A43" s="4" t="s">
        <v>50</v>
      </c>
      <c r="B43" s="2" t="n">
        <v>703</v>
      </c>
      <c r="C43" s="2" t="n">
        <v>77121</v>
      </c>
      <c r="D43" s="2" t="n">
        <v>9.11554570091155</v>
      </c>
      <c r="E43" s="3" t="n">
        <v>189051</v>
      </c>
      <c r="F43" s="3" t="n">
        <v>83305</v>
      </c>
      <c r="G43" s="3" t="n">
        <v>83299</v>
      </c>
      <c r="H43" s="3" t="n">
        <v>6</v>
      </c>
      <c r="I43" s="3" t="n">
        <v>31508.5</v>
      </c>
    </row>
    <row r="44" customFormat="false" ht="14.65" hidden="false" customHeight="false" outlineLevel="0" collapsed="false">
      <c r="A44" s="4" t="s">
        <v>51</v>
      </c>
      <c r="B44" s="2" t="n">
        <v>4953</v>
      </c>
      <c r="C44" s="2" t="n">
        <v>42146</v>
      </c>
      <c r="D44" s="2" t="n">
        <v>117.520049352252</v>
      </c>
      <c r="E44" s="3" t="n">
        <v>569278</v>
      </c>
      <c r="F44" s="3" t="n">
        <v>85037</v>
      </c>
      <c r="G44" s="3" t="n">
        <v>85144</v>
      </c>
      <c r="H44" s="3" t="n">
        <v>-107</v>
      </c>
      <c r="I44" s="3" t="n">
        <v>-5320.35514018692</v>
      </c>
    </row>
    <row r="45" customFormat="false" ht="14.65" hidden="false" customHeight="false" outlineLevel="0" collapsed="false">
      <c r="A45" s="4" t="s">
        <v>52</v>
      </c>
      <c r="B45" s="2" t="n">
        <v>17349</v>
      </c>
      <c r="C45" s="2" t="n">
        <v>268601</v>
      </c>
      <c r="D45" s="2" t="n">
        <v>64.5902286290818</v>
      </c>
      <c r="E45" s="3" t="n">
        <v>1978812</v>
      </c>
      <c r="F45" s="3" t="n">
        <v>294142</v>
      </c>
      <c r="G45" s="3" t="n">
        <v>293317</v>
      </c>
      <c r="H45" s="3" t="n">
        <v>825</v>
      </c>
      <c r="I45" s="3" t="n">
        <v>2398.56</v>
      </c>
    </row>
    <row r="46" customFormat="false" ht="14.65" hidden="false" customHeight="false" outlineLevel="0" collapsed="false">
      <c r="A46" s="5" t="s">
        <v>53</v>
      </c>
      <c r="B46" s="2" t="n">
        <v>1770</v>
      </c>
      <c r="C46" s="2" t="n">
        <v>84904</v>
      </c>
      <c r="D46" s="2" t="n">
        <v>20.8470743427872</v>
      </c>
      <c r="E46" s="3" t="n">
        <v>230994</v>
      </c>
      <c r="F46" s="3" t="n">
        <v>40508</v>
      </c>
      <c r="G46" s="3" t="n">
        <v>43270</v>
      </c>
      <c r="H46" s="3" t="n">
        <v>-2762</v>
      </c>
      <c r="I46" s="3" t="n">
        <v>-83.6328747284576</v>
      </c>
    </row>
    <row r="47" customFormat="false" ht="14.65" hidden="false" customHeight="false" outlineLevel="0" collapsed="false">
      <c r="A47" s="4" t="s">
        <v>54</v>
      </c>
      <c r="B47" s="2" t="n">
        <v>567</v>
      </c>
      <c r="C47" s="2" t="n">
        <v>9615</v>
      </c>
      <c r="D47" s="2" t="n">
        <v>58.9703588143526</v>
      </c>
      <c r="E47" s="3" t="n">
        <v>109862</v>
      </c>
      <c r="F47" s="3" t="n">
        <v>14166</v>
      </c>
      <c r="G47" s="3" t="n">
        <v>14145</v>
      </c>
      <c r="H47" s="3" t="n">
        <v>21</v>
      </c>
      <c r="I47" s="3" t="n">
        <v>5231.52380952381</v>
      </c>
    </row>
    <row r="48" customFormat="false" ht="14.65" hidden="false" customHeight="false" outlineLevel="0" collapsed="false">
      <c r="A48" s="4" t="s">
        <v>55</v>
      </c>
      <c r="B48" s="2" t="n">
        <v>6286</v>
      </c>
      <c r="C48" s="2" t="n">
        <v>42769</v>
      </c>
      <c r="D48" s="2" t="n">
        <v>146.975613177769</v>
      </c>
      <c r="E48" s="3" t="n">
        <v>625766</v>
      </c>
      <c r="F48" s="3" t="n">
        <v>68429</v>
      </c>
      <c r="G48" s="3" t="n">
        <v>68429</v>
      </c>
      <c r="H48" s="3" t="n">
        <v>0</v>
      </c>
      <c r="I48" s="3" t="s">
        <v>20</v>
      </c>
    </row>
    <row r="49" customFormat="false" ht="14.65" hidden="false" customHeight="false" outlineLevel="0" collapsed="false">
      <c r="A49" s="4" t="s">
        <v>56</v>
      </c>
      <c r="B49" s="2" t="n">
        <v>5018</v>
      </c>
      <c r="C49" s="2" t="n">
        <v>71303</v>
      </c>
      <c r="D49" s="2" t="n">
        <v>70.3757205166683</v>
      </c>
      <c r="E49" s="3" t="n">
        <v>676259</v>
      </c>
      <c r="F49" s="3" t="n">
        <v>79428</v>
      </c>
      <c r="G49" s="3" t="n">
        <v>79413</v>
      </c>
      <c r="H49" s="3" t="n">
        <v>15</v>
      </c>
      <c r="I49" s="3" t="n">
        <v>45083.9333333333</v>
      </c>
    </row>
    <row r="50" customFormat="false" ht="14.65" hidden="false" customHeight="false" outlineLevel="0" collapsed="false">
      <c r="A50" s="5" t="s">
        <v>57</v>
      </c>
      <c r="B50" s="2" t="n">
        <v>1801</v>
      </c>
      <c r="C50" s="2" t="n">
        <v>24231</v>
      </c>
      <c r="D50" s="2" t="n">
        <v>74.3262762576864</v>
      </c>
      <c r="E50" s="3" t="n">
        <v>467439</v>
      </c>
      <c r="F50" s="3" t="n">
        <v>35045</v>
      </c>
      <c r="G50" s="3" t="n">
        <v>34919</v>
      </c>
      <c r="H50" s="3" t="n">
        <v>126</v>
      </c>
      <c r="I50" s="3" t="n">
        <v>3709.83333333333</v>
      </c>
    </row>
    <row r="51" customFormat="false" ht="14.65" hidden="false" customHeight="false" outlineLevel="0" collapsed="false">
      <c r="A51" s="4" t="s">
        <v>58</v>
      </c>
      <c r="B51" s="2" t="n">
        <v>4955</v>
      </c>
      <c r="C51" s="2" t="n">
        <v>65503</v>
      </c>
      <c r="D51" s="2" t="n">
        <v>75.6453902874678</v>
      </c>
      <c r="E51" s="3" t="n">
        <v>650001</v>
      </c>
      <c r="F51" s="3" t="n">
        <v>110978</v>
      </c>
      <c r="G51" s="3" t="n">
        <v>110371</v>
      </c>
      <c r="H51" s="3" t="n">
        <v>607</v>
      </c>
      <c r="I51" s="3" t="n">
        <v>1070.84184514003</v>
      </c>
    </row>
    <row r="52" customFormat="false" ht="14.65" hidden="false" customHeight="false" outlineLevel="0" collapsed="false">
      <c r="A52" s="4" t="s">
        <v>59</v>
      </c>
      <c r="B52" s="2" t="n">
        <v>460</v>
      </c>
      <c r="C52" s="2" t="n">
        <v>97818</v>
      </c>
      <c r="D52" s="2" t="n">
        <v>4.70261097139586</v>
      </c>
      <c r="E52" s="3" t="n">
        <v>158786</v>
      </c>
      <c r="F52" s="3" t="n">
        <v>37642</v>
      </c>
      <c r="G52" s="3" t="n">
        <v>39022</v>
      </c>
      <c r="H52" s="3" t="n">
        <v>-1380</v>
      </c>
      <c r="I52" s="3" t="n">
        <v>-115.06231884058</v>
      </c>
    </row>
    <row r="53" customFormat="false" ht="14.65" hidden="false" customHeight="false" outlineLevel="0" collapsed="false">
      <c r="A53" s="5" t="s">
        <v>60</v>
      </c>
      <c r="B53" s="2"/>
      <c r="C53" s="2"/>
      <c r="D53" s="2"/>
      <c r="F53" s="3" t="n">
        <v>0</v>
      </c>
      <c r="H53" s="3" t="n">
        <v>0</v>
      </c>
    </row>
    <row r="54" customFormat="false" ht="14.65" hidden="false" customHeight="false" outlineLevel="0" collapsed="false">
      <c r="A54" s="6" t="s">
        <v>61</v>
      </c>
      <c r="B54" s="2" t="n">
        <v>252181</v>
      </c>
      <c r="C54" s="2" t="n">
        <v>3717528</v>
      </c>
      <c r="D54" s="2" t="n">
        <v>67.8356692942192</v>
      </c>
      <c r="E54" s="3" t="n">
        <v>28233871</v>
      </c>
      <c r="F54" s="3" t="n">
        <v>3904721</v>
      </c>
      <c r="G54" s="3" t="n">
        <v>3901715</v>
      </c>
      <c r="H54" s="3" t="n">
        <v>3006</v>
      </c>
    </row>
    <row r="56" customFormat="false" ht="14.65" hidden="false" customHeight="false" outlineLevel="0" collapsed="false">
      <c r="A56" s="3" t="s">
        <v>62</v>
      </c>
    </row>
    <row r="57" customFormat="false" ht="14.65" hidden="false" customHeight="false" outlineLevel="0" collapsed="false">
      <c r="A57" s="3" t="s">
        <v>63</v>
      </c>
    </row>
    <row r="58" customFormat="false" ht="14.65" hidden="false" customHeight="false" outlineLevel="0" collapsed="false">
      <c r="A58" s="3" t="s">
        <v>64</v>
      </c>
    </row>
    <row r="59" customFormat="false" ht="14.65" hidden="false" customHeight="false" outlineLevel="0" collapsed="false">
      <c r="A59" s="3" t="s">
        <v>65</v>
      </c>
    </row>
    <row r="62" customFormat="false" ht="14.65" hidden="false" customHeight="false" outlineLevel="0" collapsed="false">
      <c r="A62" s="3" t="s">
        <v>66</v>
      </c>
    </row>
    <row r="63" customFormat="false" ht="14.65" hidden="false" customHeight="false" outlineLevel="0" collapsed="false">
      <c r="A63" s="3" t="s">
        <v>67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O2" activeCellId="0" sqref="O2:P54 O2:P54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68</v>
      </c>
      <c r="B1" s="7" t="s">
        <v>69</v>
      </c>
      <c r="C1" s="3" t="s">
        <v>70</v>
      </c>
      <c r="D1" s="3" t="s">
        <v>71</v>
      </c>
      <c r="E1" s="8" t="s">
        <v>72</v>
      </c>
      <c r="F1" s="9" t="s">
        <v>73</v>
      </c>
      <c r="G1" s="9" t="s">
        <v>74</v>
      </c>
      <c r="H1" s="9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</row>
    <row r="2" customFormat="false" ht="14.65" hidden="false" customHeight="false" outlineLevel="0" collapsed="false">
      <c r="A2" s="4" t="s">
        <v>8</v>
      </c>
      <c r="B2" s="7" t="n">
        <v>8905.74</v>
      </c>
      <c r="C2" s="3" t="n">
        <v>470232</v>
      </c>
      <c r="D2" s="3" t="n">
        <v>157868</v>
      </c>
      <c r="E2" s="10" t="n">
        <v>72558</v>
      </c>
      <c r="F2" s="11" t="n">
        <v>57359</v>
      </c>
      <c r="G2" s="11" t="n">
        <v>11128</v>
      </c>
      <c r="H2" s="11" t="n">
        <v>20436</v>
      </c>
      <c r="K2" s="3" t="n">
        <v>0.0515</v>
      </c>
      <c r="L2" s="3" t="n">
        <f aca="false">1.2*K2*B2*1000</f>
        <v>550374.732</v>
      </c>
      <c r="M2" s="3" t="n">
        <f aca="false">+D2</f>
        <v>157868</v>
      </c>
      <c r="N2" s="3" t="n">
        <f aca="false">+E2+F2</f>
        <v>129917</v>
      </c>
      <c r="O2" s="3" t="n">
        <f aca="false">+L2+M2+N2</f>
        <v>838159.732</v>
      </c>
      <c r="P2" s="3" t="n">
        <f aca="false">+M2+N2</f>
        <v>287785</v>
      </c>
    </row>
    <row r="3" customFormat="false" ht="14.65" hidden="false" customHeight="false" outlineLevel="0" collapsed="false">
      <c r="A3" s="4" t="s">
        <v>9</v>
      </c>
      <c r="B3" s="7" t="n">
        <v>0</v>
      </c>
      <c r="C3" s="3" t="n">
        <v>242000</v>
      </c>
      <c r="D3" s="3" t="n">
        <v>33400</v>
      </c>
      <c r="E3" s="10" t="n">
        <v>30088</v>
      </c>
      <c r="F3" s="11" t="n">
        <v>40116</v>
      </c>
      <c r="G3" s="11" t="n">
        <v>13411</v>
      </c>
      <c r="H3" s="11" t="n">
        <v>21623</v>
      </c>
      <c r="K3" s="3" t="n">
        <v>0.0515</v>
      </c>
      <c r="L3" s="3" t="n">
        <f aca="false">1.2*K3*B3*1000</f>
        <v>0</v>
      </c>
      <c r="M3" s="3" t="n">
        <f aca="false">+D3</f>
        <v>33400</v>
      </c>
      <c r="N3" s="3" t="n">
        <f aca="false">+E3+F3</f>
        <v>70204</v>
      </c>
      <c r="O3" s="3" t="n">
        <f aca="false">+L3+M3+N3</f>
        <v>103604</v>
      </c>
      <c r="P3" s="3" t="n">
        <f aca="false">+M3+N3</f>
        <v>103604</v>
      </c>
    </row>
    <row r="4" customFormat="false" ht="14.65" hidden="false" customHeight="false" outlineLevel="0" collapsed="false">
      <c r="A4" s="4" t="s">
        <v>10</v>
      </c>
      <c r="B4" s="7" t="n">
        <v>7955.02</v>
      </c>
      <c r="C4" s="3" t="n">
        <v>480799</v>
      </c>
      <c r="D4" s="3" t="n">
        <v>68839</v>
      </c>
      <c r="E4" s="10" t="n">
        <v>70527</v>
      </c>
      <c r="F4" s="11" t="n">
        <v>78446</v>
      </c>
      <c r="G4" s="11" t="n">
        <v>154305</v>
      </c>
      <c r="H4" s="11" t="n">
        <v>359239</v>
      </c>
      <c r="K4" s="3" t="n">
        <v>0.0525</v>
      </c>
      <c r="L4" s="3" t="n">
        <f aca="false">1.2*K4*B4*1000</f>
        <v>501166.26</v>
      </c>
      <c r="M4" s="3" t="n">
        <f aca="false">+D4</f>
        <v>68839</v>
      </c>
      <c r="N4" s="3" t="n">
        <f aca="false">+E4+F4</f>
        <v>148973</v>
      </c>
      <c r="O4" s="3" t="n">
        <f aca="false">+L4+M4+N4</f>
        <v>718978.26</v>
      </c>
      <c r="P4" s="3" t="n">
        <f aca="false">+M4+N4</f>
        <v>217812</v>
      </c>
    </row>
    <row r="5" customFormat="false" ht="14.65" hidden="false" customHeight="false" outlineLevel="0" collapsed="false">
      <c r="A5" s="4" t="s">
        <v>11</v>
      </c>
      <c r="B5" s="7" t="n">
        <v>4829.36</v>
      </c>
      <c r="C5" s="3" t="n">
        <v>362332</v>
      </c>
      <c r="D5" s="3" t="n">
        <v>93412</v>
      </c>
      <c r="E5" s="10" t="n">
        <v>42524</v>
      </c>
      <c r="F5" s="11" t="n">
        <v>45163</v>
      </c>
      <c r="G5" s="11" t="n">
        <v>661</v>
      </c>
      <c r="H5" s="11" t="n">
        <v>449</v>
      </c>
      <c r="K5" s="3" t="n">
        <v>0.0515</v>
      </c>
      <c r="L5" s="3" t="n">
        <f aca="false">1.2*K5*B5*1000</f>
        <v>298454.448</v>
      </c>
      <c r="M5" s="3" t="n">
        <f aca="false">+D5</f>
        <v>93412</v>
      </c>
      <c r="N5" s="3" t="n">
        <f aca="false">+E5+F5</f>
        <v>87687</v>
      </c>
      <c r="O5" s="3" t="n">
        <f aca="false">+L5+M5+N5</f>
        <v>479553.448</v>
      </c>
      <c r="P5" s="3" t="n">
        <f aca="false">+M5+N5</f>
        <v>181099</v>
      </c>
    </row>
    <row r="6" customFormat="false" ht="14.65" hidden="false" customHeight="false" outlineLevel="0" collapsed="false">
      <c r="A6" s="5" t="s">
        <v>12</v>
      </c>
      <c r="B6" s="7" t="n">
        <v>42835.42</v>
      </c>
      <c r="C6" s="3" t="n">
        <v>2135323</v>
      </c>
      <c r="D6" s="3" t="n">
        <v>342460</v>
      </c>
      <c r="E6" s="12" t="n">
        <v>1046908</v>
      </c>
      <c r="F6" s="13" t="n">
        <v>1182559</v>
      </c>
      <c r="G6" s="13" t="n">
        <v>58263</v>
      </c>
      <c r="H6" s="13" t="n">
        <v>35336</v>
      </c>
      <c r="K6" s="3" t="n">
        <v>0.0535</v>
      </c>
      <c r="L6" s="3" t="n">
        <f aca="false">1.2*K6*B6*1000</f>
        <v>2750033.964</v>
      </c>
      <c r="M6" s="3" t="n">
        <f aca="false">+D6</f>
        <v>342460</v>
      </c>
      <c r="N6" s="3" t="n">
        <f aca="false">+E6+F6</f>
        <v>2229467</v>
      </c>
      <c r="O6" s="3" t="n">
        <f aca="false">+L6+M6+N6</f>
        <v>5321960.964</v>
      </c>
      <c r="P6" s="3" t="n">
        <f aca="false">+M6+N6</f>
        <v>2571927</v>
      </c>
    </row>
    <row r="7" customFormat="false" ht="14.65" hidden="false" customHeight="false" outlineLevel="0" collapsed="false">
      <c r="A7" s="4" t="s">
        <v>13</v>
      </c>
      <c r="B7" s="7" t="n">
        <v>6574.39</v>
      </c>
      <c r="C7" s="3" t="n">
        <v>341276</v>
      </c>
      <c r="D7" s="3" t="n">
        <v>125208</v>
      </c>
      <c r="E7" s="10" t="n">
        <v>52531</v>
      </c>
      <c r="F7" s="11" t="n">
        <v>96886</v>
      </c>
      <c r="G7" s="11" t="n">
        <v>43258</v>
      </c>
      <c r="H7" s="11" t="n">
        <v>63757</v>
      </c>
      <c r="K7" s="3" t="n">
        <v>0.0525</v>
      </c>
      <c r="L7" s="3" t="n">
        <f aca="false">1.2*K7*B7*1000</f>
        <v>414186.57</v>
      </c>
      <c r="M7" s="3" t="n">
        <f aca="false">+D7</f>
        <v>125208</v>
      </c>
      <c r="N7" s="3" t="n">
        <f aca="false">+E7+F7</f>
        <v>149417</v>
      </c>
      <c r="O7" s="3" t="n">
        <f aca="false">+L7+M7+N7</f>
        <v>688811.57</v>
      </c>
      <c r="P7" s="3" t="n">
        <f aca="false">+M7+N7</f>
        <v>274625</v>
      </c>
    </row>
    <row r="8" customFormat="false" ht="14.65" hidden="false" customHeight="false" outlineLevel="0" collapsed="false">
      <c r="A8" s="4" t="s">
        <v>14</v>
      </c>
      <c r="B8" s="7" t="n">
        <v>7236.71</v>
      </c>
      <c r="C8" s="3" t="n">
        <v>588122</v>
      </c>
      <c r="D8" s="3" t="n">
        <v>49314</v>
      </c>
      <c r="E8" s="10" t="n">
        <v>75613</v>
      </c>
      <c r="F8" s="11" t="n">
        <v>17130</v>
      </c>
      <c r="G8" s="11" t="n">
        <v>168579</v>
      </c>
      <c r="H8" s="11" t="n">
        <v>206380</v>
      </c>
      <c r="K8" s="3" t="n">
        <v>0.0515</v>
      </c>
      <c r="L8" s="3" t="n">
        <f aca="false">1.2*K8*B8*1000</f>
        <v>447228.678</v>
      </c>
      <c r="M8" s="3" t="n">
        <f aca="false">+D8</f>
        <v>49314</v>
      </c>
      <c r="N8" s="3" t="n">
        <f aca="false">+E8+F8</f>
        <v>92743</v>
      </c>
      <c r="O8" s="3" t="n">
        <f aca="false">+L8+M8+N8</f>
        <v>589285.678</v>
      </c>
      <c r="P8" s="3" t="n">
        <f aca="false">+M8+N8</f>
        <v>142057</v>
      </c>
    </row>
    <row r="9" customFormat="false" ht="14.65" hidden="false" customHeight="false" outlineLevel="0" collapsed="false">
      <c r="A9" s="4" t="s">
        <v>15</v>
      </c>
      <c r="B9" s="7" t="n">
        <v>2112.78</v>
      </c>
      <c r="C9" s="3" t="n">
        <v>205535</v>
      </c>
      <c r="D9" s="3" t="n">
        <v>29119</v>
      </c>
      <c r="E9" s="10" t="n">
        <v>50696</v>
      </c>
      <c r="F9" s="11" t="n">
        <v>36496</v>
      </c>
      <c r="G9" s="11" t="n">
        <v>46059</v>
      </c>
      <c r="H9" s="11" t="n">
        <v>26331</v>
      </c>
      <c r="K9" s="3" t="n">
        <v>0.0495</v>
      </c>
      <c r="L9" s="3" t="n">
        <f aca="false">1.2*K9*B9*1000</f>
        <v>125499.132</v>
      </c>
      <c r="M9" s="3" t="n">
        <f aca="false">+D9</f>
        <v>29119</v>
      </c>
      <c r="N9" s="3" t="n">
        <f aca="false">+E9+F9</f>
        <v>87192</v>
      </c>
      <c r="O9" s="3" t="n">
        <f aca="false">+L9+M9+N9</f>
        <v>241810.132</v>
      </c>
      <c r="P9" s="3" t="n">
        <f aca="false">+M9+N9</f>
        <v>116311</v>
      </c>
    </row>
    <row r="10" customFormat="false" ht="14.65" hidden="false" customHeight="false" outlineLevel="0" collapsed="false">
      <c r="A10" s="5" t="s">
        <v>16</v>
      </c>
      <c r="B10" s="7" t="n">
        <v>0</v>
      </c>
      <c r="C10" s="3" t="n">
        <v>108194</v>
      </c>
      <c r="D10" s="3" t="n">
        <v>27954</v>
      </c>
      <c r="E10" s="12" t="n">
        <v>19715</v>
      </c>
      <c r="F10" s="13" t="n">
        <v>0</v>
      </c>
      <c r="G10" s="13" t="n">
        <v>73135</v>
      </c>
      <c r="H10" s="13" t="n">
        <v>46061</v>
      </c>
      <c r="K10" s="3" t="n">
        <v>0.0525</v>
      </c>
      <c r="L10" s="3" t="n">
        <f aca="false">1.2*K10*B10*1000</f>
        <v>0</v>
      </c>
      <c r="M10" s="3" t="n">
        <f aca="false">+D10</f>
        <v>27954</v>
      </c>
      <c r="N10" s="3" t="n">
        <f aca="false">+E10+F10</f>
        <v>19715</v>
      </c>
      <c r="O10" s="3" t="n">
        <f aca="false">+L10+M10+N10</f>
        <v>47669</v>
      </c>
      <c r="P10" s="3" t="n">
        <f aca="false">+M10+N10</f>
        <v>47669</v>
      </c>
    </row>
    <row r="11" customFormat="false" ht="14.65" hidden="false" customHeight="false" outlineLevel="0" collapsed="false">
      <c r="A11" s="4" t="s">
        <v>17</v>
      </c>
      <c r="B11" s="7" t="n">
        <v>19987.9</v>
      </c>
      <c r="C11" s="3" t="n">
        <v>1684969</v>
      </c>
      <c r="D11" s="3" t="n">
        <v>197397</v>
      </c>
      <c r="E11" s="10" t="n">
        <v>428351</v>
      </c>
      <c r="F11" s="11" t="n">
        <v>271756</v>
      </c>
      <c r="G11" s="11" t="n">
        <v>232516</v>
      </c>
      <c r="H11" s="11" t="n">
        <v>153681</v>
      </c>
      <c r="K11" s="3" t="n">
        <v>0.0515</v>
      </c>
      <c r="L11" s="3" t="n">
        <f aca="false">1.2*K11*B11*1000</f>
        <v>1235252.22</v>
      </c>
      <c r="M11" s="3" t="n">
        <f aca="false">+D11</f>
        <v>197397</v>
      </c>
      <c r="N11" s="3" t="n">
        <f aca="false">+E11+F11</f>
        <v>700107</v>
      </c>
      <c r="O11" s="3" t="n">
        <f aca="false">+L11+M11+N11</f>
        <v>2132756.22</v>
      </c>
      <c r="P11" s="3" t="n">
        <f aca="false">+M11+N11</f>
        <v>897504</v>
      </c>
    </row>
    <row r="12" customFormat="false" ht="14.65" hidden="false" customHeight="false" outlineLevel="0" collapsed="false">
      <c r="A12" s="4" t="s">
        <v>18</v>
      </c>
      <c r="B12" s="7" t="n">
        <v>12440.08</v>
      </c>
      <c r="C12" s="3" t="n">
        <v>737696</v>
      </c>
      <c r="D12" s="3" t="n">
        <v>163517</v>
      </c>
      <c r="E12" s="10" t="n">
        <v>113627</v>
      </c>
      <c r="F12" s="11" t="n">
        <v>127181</v>
      </c>
      <c r="G12" s="11" t="n">
        <v>46645</v>
      </c>
      <c r="H12" s="11" t="n">
        <v>300966</v>
      </c>
      <c r="K12" s="3" t="n">
        <v>0.0475</v>
      </c>
      <c r="L12" s="3" t="n">
        <f aca="false">1.2*K12*B12*1000</f>
        <v>709084.56</v>
      </c>
      <c r="M12" s="3" t="n">
        <f aca="false">+D12</f>
        <v>163517</v>
      </c>
      <c r="N12" s="3" t="n">
        <f aca="false">+E12+F12</f>
        <v>240808</v>
      </c>
      <c r="O12" s="3" t="n">
        <f aca="false">+L12+M12+N12</f>
        <v>1113409.56</v>
      </c>
      <c r="P12" s="3" t="n">
        <f aca="false">+M12+N12</f>
        <v>404325</v>
      </c>
    </row>
    <row r="13" customFormat="false" ht="14.65" hidden="false" customHeight="false" outlineLevel="0" collapsed="false">
      <c r="A13" s="4" t="s">
        <v>19</v>
      </c>
      <c r="B13" s="7" t="n">
        <v>0</v>
      </c>
      <c r="C13" s="3" t="n">
        <v>303746</v>
      </c>
      <c r="D13" s="3" t="n">
        <v>15081</v>
      </c>
      <c r="E13" s="10" t="n">
        <v>38613</v>
      </c>
      <c r="F13" s="11" t="n">
        <v>16365</v>
      </c>
      <c r="G13" s="11" t="n">
        <v>18968</v>
      </c>
      <c r="H13" s="11" t="n">
        <v>22637</v>
      </c>
      <c r="K13" s="3" t="n">
        <v>0.0515</v>
      </c>
      <c r="L13" s="3" t="n">
        <f aca="false">1.2*K13*B13*1000</f>
        <v>0</v>
      </c>
      <c r="M13" s="3" t="n">
        <f aca="false">+D13</f>
        <v>15081</v>
      </c>
      <c r="N13" s="3" t="n">
        <f aca="false">+E13+F13</f>
        <v>54978</v>
      </c>
      <c r="O13" s="3" t="n">
        <f aca="false">+L13+M13+N13</f>
        <v>70059</v>
      </c>
      <c r="P13" s="3" t="n">
        <f aca="false">+M13+N13</f>
        <v>70059</v>
      </c>
    </row>
    <row r="14" customFormat="false" ht="14.65" hidden="false" customHeight="false" outlineLevel="0" collapsed="false">
      <c r="A14" s="5" t="s">
        <v>21</v>
      </c>
      <c r="B14" s="7" t="n">
        <v>3010.18</v>
      </c>
      <c r="C14" s="3" t="n">
        <v>124933</v>
      </c>
      <c r="D14" s="3" t="n">
        <v>21457</v>
      </c>
      <c r="E14" s="12" t="n">
        <v>43930</v>
      </c>
      <c r="F14" s="13" t="n">
        <v>14397</v>
      </c>
      <c r="G14" s="13" t="n">
        <v>341</v>
      </c>
      <c r="H14" s="13" t="n">
        <v>545</v>
      </c>
      <c r="K14" s="3" t="n">
        <v>0.0525</v>
      </c>
      <c r="L14" s="3" t="n">
        <f aca="false">1.2*K14*B14*1000</f>
        <v>189641.34</v>
      </c>
      <c r="M14" s="3" t="n">
        <f aca="false">+D14</f>
        <v>21457</v>
      </c>
      <c r="N14" s="3" t="n">
        <f aca="false">+E14+F14</f>
        <v>58327</v>
      </c>
      <c r="O14" s="3" t="n">
        <f aca="false">+L14+M14+N14</f>
        <v>269425.34</v>
      </c>
      <c r="P14" s="3" t="n">
        <f aca="false">+M14+N14</f>
        <v>79784</v>
      </c>
    </row>
    <row r="15" customFormat="false" ht="14.65" hidden="false" customHeight="false" outlineLevel="0" collapsed="false">
      <c r="A15" s="4" t="s">
        <v>22</v>
      </c>
      <c r="B15" s="7" t="n">
        <v>28835.59</v>
      </c>
      <c r="C15" s="3" t="n">
        <v>1469756</v>
      </c>
      <c r="D15" s="3" t="n">
        <v>256982</v>
      </c>
      <c r="E15" s="10" t="n">
        <v>260011</v>
      </c>
      <c r="F15" s="11" t="n">
        <v>126439</v>
      </c>
      <c r="G15" s="11" t="n">
        <v>129070</v>
      </c>
      <c r="H15" s="11" t="n">
        <v>115485</v>
      </c>
      <c r="K15" s="3" t="n">
        <v>0.0535</v>
      </c>
      <c r="L15" s="3" t="n">
        <f aca="false">1.2*K15*B15*1000</f>
        <v>1851244.878</v>
      </c>
      <c r="M15" s="3" t="n">
        <f aca="false">+D15</f>
        <v>256982</v>
      </c>
      <c r="N15" s="3" t="n">
        <f aca="false">+E15+F15</f>
        <v>386450</v>
      </c>
      <c r="O15" s="3" t="n">
        <f aca="false">+L15+M15+N15</f>
        <v>2494676.878</v>
      </c>
      <c r="P15" s="3" t="n">
        <f aca="false">+M15+N15</f>
        <v>643432</v>
      </c>
    </row>
    <row r="16" customFormat="false" ht="14.65" hidden="false" customHeight="false" outlineLevel="0" collapsed="false">
      <c r="A16" s="4" t="s">
        <v>23</v>
      </c>
      <c r="B16" s="7" t="n">
        <v>10713.72</v>
      </c>
      <c r="C16" s="3" t="n">
        <v>635631</v>
      </c>
      <c r="D16" s="3" t="n">
        <v>189409</v>
      </c>
      <c r="E16" s="10" t="n">
        <v>195916</v>
      </c>
      <c r="F16" s="11" t="n">
        <v>41838</v>
      </c>
      <c r="G16" s="11" t="n">
        <v>52231</v>
      </c>
      <c r="H16" s="11" t="n">
        <v>12687</v>
      </c>
      <c r="K16" s="3" t="n">
        <v>0.0525</v>
      </c>
      <c r="L16" s="3" t="n">
        <f aca="false">1.2*K16*B16*1000</f>
        <v>674964.36</v>
      </c>
      <c r="M16" s="3" t="n">
        <f aca="false">+D16</f>
        <v>189409</v>
      </c>
      <c r="N16" s="3" t="n">
        <f aca="false">+E16+F16</f>
        <v>237754</v>
      </c>
      <c r="O16" s="3" t="n">
        <f aca="false">+L16+M16+N16</f>
        <v>1102127.36</v>
      </c>
      <c r="P16" s="3" t="n">
        <f aca="false">+M16+N16</f>
        <v>427163</v>
      </c>
    </row>
    <row r="17" customFormat="false" ht="14.65" hidden="false" customHeight="false" outlineLevel="0" collapsed="false">
      <c r="A17" s="4" t="s">
        <v>24</v>
      </c>
      <c r="B17" s="7" t="n">
        <v>10535.56</v>
      </c>
      <c r="C17" s="3" t="n">
        <v>412640</v>
      </c>
      <c r="D17" s="3" t="n">
        <v>58645</v>
      </c>
      <c r="E17" s="10" t="n">
        <v>95273</v>
      </c>
      <c r="F17" s="11" t="n">
        <v>66895</v>
      </c>
      <c r="G17" s="11" t="n">
        <v>23439</v>
      </c>
      <c r="H17" s="11" t="n">
        <v>53258</v>
      </c>
      <c r="K17" s="3" t="n">
        <v>0.0525</v>
      </c>
      <c r="L17" s="3" t="n">
        <f aca="false">1.2*K17*B17*1000</f>
        <v>663740.28</v>
      </c>
      <c r="M17" s="3" t="n">
        <f aca="false">+D17</f>
        <v>58645</v>
      </c>
      <c r="N17" s="3" t="n">
        <f aca="false">+E17+F17</f>
        <v>162168</v>
      </c>
      <c r="O17" s="3" t="n">
        <f aca="false">+L17+M17+N17</f>
        <v>884553.28</v>
      </c>
      <c r="P17" s="3" t="n">
        <f aca="false">+M17+N17</f>
        <v>220813</v>
      </c>
    </row>
    <row r="18" customFormat="false" ht="14.65" hidden="false" customHeight="false" outlineLevel="0" collapsed="false">
      <c r="A18" s="5" t="s">
        <v>25</v>
      </c>
      <c r="B18" s="7" t="n">
        <v>7667.17</v>
      </c>
      <c r="C18" s="3" t="n">
        <v>433598</v>
      </c>
      <c r="D18" s="3" t="n">
        <v>89575</v>
      </c>
      <c r="E18" s="12" t="n">
        <v>183109</v>
      </c>
      <c r="F18" s="13" t="n">
        <v>275074</v>
      </c>
      <c r="G18" s="13" t="n">
        <v>44942</v>
      </c>
      <c r="H18" s="13" t="n">
        <v>142628</v>
      </c>
      <c r="K18" s="3" t="n">
        <v>0.0525</v>
      </c>
      <c r="L18" s="3" t="n">
        <f aca="false">1.2*K18*B18*1000</f>
        <v>483031.71</v>
      </c>
      <c r="M18" s="3" t="n">
        <f aca="false">+D18</f>
        <v>89575</v>
      </c>
      <c r="N18" s="3" t="n">
        <f aca="false">+E18+F18</f>
        <v>458183</v>
      </c>
      <c r="O18" s="3" t="n">
        <f aca="false">+L18+M18+N18</f>
        <v>1030789.71</v>
      </c>
      <c r="P18" s="3" t="n">
        <f aca="false">+M18+N18</f>
        <v>547758</v>
      </c>
    </row>
    <row r="19" customFormat="false" ht="14.65" hidden="false" customHeight="false" outlineLevel="0" collapsed="false">
      <c r="A19" s="4" t="s">
        <v>26</v>
      </c>
      <c r="B19" s="7" t="n">
        <v>12137.85</v>
      </c>
      <c r="C19" s="3" t="s">
        <v>20</v>
      </c>
      <c r="D19" s="3" t="s">
        <v>20</v>
      </c>
      <c r="E19" s="10" t="n">
        <v>88047</v>
      </c>
      <c r="F19" s="11" t="n">
        <v>109820</v>
      </c>
      <c r="G19" s="11" t="n">
        <v>103564</v>
      </c>
      <c r="H19" s="11" t="n">
        <v>143452</v>
      </c>
      <c r="K19" s="3" t="n">
        <v>0.0515</v>
      </c>
      <c r="L19" s="3" t="n">
        <f aca="false">1.2*K19*B19*1000</f>
        <v>750119.13</v>
      </c>
      <c r="M19" s="3" t="str">
        <f aca="false">+D19</f>
        <v>NA</v>
      </c>
      <c r="N19" s="3" t="n">
        <f aca="false">+E19+F19</f>
        <v>197867</v>
      </c>
      <c r="O19" s="3" t="e">
        <f aca="false">+L19+M19+N19</f>
        <v>#VALUE!</v>
      </c>
      <c r="P19" s="3" t="e">
        <f aca="false">+M19+N19</f>
        <v>#VALUE!</v>
      </c>
    </row>
    <row r="20" customFormat="false" ht="14.65" hidden="false" customHeight="false" outlineLevel="0" collapsed="false">
      <c r="A20" s="4" t="s">
        <v>27</v>
      </c>
      <c r="B20" s="7" t="n">
        <v>13572.38</v>
      </c>
      <c r="C20" s="3" t="n">
        <v>598835</v>
      </c>
      <c r="D20" s="3" t="n">
        <v>71494</v>
      </c>
      <c r="E20" s="10" t="n">
        <v>85661</v>
      </c>
      <c r="F20" s="11" t="n">
        <v>116970</v>
      </c>
      <c r="G20" s="11" t="n">
        <v>107470</v>
      </c>
      <c r="H20" s="11" t="n">
        <v>107504</v>
      </c>
      <c r="K20" s="3" t="n">
        <v>0.0595</v>
      </c>
      <c r="L20" s="3" t="n">
        <f aca="false">1.2*K20*B20*1000</f>
        <v>969067.932</v>
      </c>
      <c r="M20" s="3" t="n">
        <f aca="false">+D20</f>
        <v>71494</v>
      </c>
      <c r="N20" s="3" t="n">
        <f aca="false">+E20+F20</f>
        <v>202631</v>
      </c>
      <c r="O20" s="3" t="n">
        <f aca="false">+L20+M20+N20</f>
        <v>1243192.932</v>
      </c>
      <c r="P20" s="3" t="n">
        <f aca="false">+M20+N20</f>
        <v>274125</v>
      </c>
    </row>
    <row r="21" customFormat="false" ht="14.65" hidden="false" customHeight="false" outlineLevel="0" collapsed="false">
      <c r="A21" s="4" t="s">
        <v>28</v>
      </c>
      <c r="B21" s="7" t="n">
        <v>2547.35</v>
      </c>
      <c r="C21" s="3" t="n">
        <v>138465</v>
      </c>
      <c r="D21" s="3" t="n">
        <v>76578</v>
      </c>
      <c r="E21" s="10" t="n">
        <v>17086</v>
      </c>
      <c r="F21" s="11" t="n">
        <v>42300</v>
      </c>
      <c r="G21" s="11" t="n">
        <v>12015</v>
      </c>
      <c r="H21" s="11" t="n">
        <v>15933</v>
      </c>
      <c r="K21" s="3" t="n">
        <v>0.0515</v>
      </c>
      <c r="L21" s="3" t="n">
        <f aca="false">1.2*K21*B21*1000</f>
        <v>157426.23</v>
      </c>
      <c r="M21" s="3" t="n">
        <f aca="false">+D21</f>
        <v>76578</v>
      </c>
      <c r="N21" s="3" t="n">
        <f aca="false">+E21+F21</f>
        <v>59386</v>
      </c>
      <c r="O21" s="3" t="n">
        <f aca="false">+L21+M21+N21</f>
        <v>293390.23</v>
      </c>
      <c r="P21" s="3" t="n">
        <f aca="false">+M21+N21</f>
        <v>135964</v>
      </c>
    </row>
    <row r="22" customFormat="false" ht="14.65" hidden="false" customHeight="false" outlineLevel="0" collapsed="false">
      <c r="A22" s="5" t="s">
        <v>29</v>
      </c>
      <c r="B22" s="7" t="n">
        <v>11768.02</v>
      </c>
      <c r="C22" s="3" t="n">
        <v>471633</v>
      </c>
      <c r="D22" s="3" t="n">
        <v>100747</v>
      </c>
      <c r="E22" s="12" t="n">
        <v>108364</v>
      </c>
      <c r="F22" s="13" t="n">
        <v>161614</v>
      </c>
      <c r="G22" s="13" t="n">
        <v>81688</v>
      </c>
      <c r="H22" s="13" t="n">
        <v>330508</v>
      </c>
      <c r="K22" s="3" t="n">
        <v>0.0475</v>
      </c>
      <c r="L22" s="3" t="n">
        <f aca="false">1.2*K22*B22*1000</f>
        <v>670777.14</v>
      </c>
      <c r="M22" s="3" t="n">
        <f aca="false">+D22</f>
        <v>100747</v>
      </c>
      <c r="N22" s="3" t="n">
        <f aca="false">+E22+F22</f>
        <v>269978</v>
      </c>
      <c r="O22" s="3" t="n">
        <f aca="false">+L22+M22+N22</f>
        <v>1041502.14</v>
      </c>
      <c r="P22" s="3" t="n">
        <f aca="false">+M22+N22</f>
        <v>370725</v>
      </c>
    </row>
    <row r="23" customFormat="false" ht="14.65" hidden="false" customHeight="false" outlineLevel="0" collapsed="false">
      <c r="A23" s="4" t="s">
        <v>30</v>
      </c>
      <c r="B23" s="7" t="n">
        <v>9194.59</v>
      </c>
      <c r="C23" s="3" t="s">
        <v>20</v>
      </c>
      <c r="D23" s="3" t="s">
        <v>20</v>
      </c>
      <c r="E23" s="10" t="n">
        <v>214814</v>
      </c>
      <c r="F23" s="11" t="n">
        <v>177051</v>
      </c>
      <c r="G23" s="11" t="n">
        <v>174108</v>
      </c>
      <c r="H23" s="11" t="n">
        <v>245634</v>
      </c>
      <c r="K23" s="3" t="n">
        <v>0.0535</v>
      </c>
      <c r="L23" s="3" t="n">
        <f aca="false">1.2*K23*B23*1000</f>
        <v>590292.678</v>
      </c>
      <c r="M23" s="3" t="str">
        <f aca="false">+D23</f>
        <v>NA</v>
      </c>
      <c r="N23" s="3" t="n">
        <f aca="false">+E23+F23</f>
        <v>391865</v>
      </c>
      <c r="O23" s="3" t="e">
        <f aca="false">+L23+M23+N23</f>
        <v>#VALUE!</v>
      </c>
      <c r="P23" s="3" t="e">
        <f aca="false">+M23+N23</f>
        <v>#VALUE!</v>
      </c>
    </row>
    <row r="24" customFormat="false" ht="14.65" hidden="false" customHeight="false" outlineLevel="0" collapsed="false">
      <c r="A24" s="4" t="s">
        <v>31</v>
      </c>
      <c r="B24" s="7" t="n">
        <v>18795.61</v>
      </c>
      <c r="C24" s="3" t="n">
        <v>561494</v>
      </c>
      <c r="D24" s="3" t="n">
        <v>94263</v>
      </c>
      <c r="E24" s="10" t="n">
        <v>205891</v>
      </c>
      <c r="F24" s="11" t="n">
        <v>201637</v>
      </c>
      <c r="G24" s="11" t="n">
        <v>35674</v>
      </c>
      <c r="H24" s="11" t="n">
        <v>44873</v>
      </c>
      <c r="K24" s="3" t="n">
        <v>0.0535</v>
      </c>
      <c r="L24" s="3" t="n">
        <f aca="false">1.2*K24*B24*1000</f>
        <v>1206678.162</v>
      </c>
      <c r="M24" s="3" t="n">
        <f aca="false">+D24</f>
        <v>94263</v>
      </c>
      <c r="N24" s="3" t="n">
        <f aca="false">+E24+F24</f>
        <v>407528</v>
      </c>
      <c r="O24" s="3" t="n">
        <f aca="false">+L24+M24+N24</f>
        <v>1708469.162</v>
      </c>
      <c r="P24" s="3" t="n">
        <f aca="false">+M24+N24</f>
        <v>501791</v>
      </c>
    </row>
    <row r="25" customFormat="false" ht="14.65" hidden="false" customHeight="false" outlineLevel="0" collapsed="false">
      <c r="A25" s="4" t="s">
        <v>32</v>
      </c>
      <c r="B25" s="7" t="n">
        <v>13417.77</v>
      </c>
      <c r="C25" s="3" t="n">
        <v>608127</v>
      </c>
      <c r="D25" s="3" t="n">
        <v>97845</v>
      </c>
      <c r="E25" s="10" t="n">
        <v>146484</v>
      </c>
      <c r="F25" s="11" t="n">
        <v>180927</v>
      </c>
      <c r="G25" s="11" t="n">
        <v>56605</v>
      </c>
      <c r="H25" s="11" t="n">
        <v>127591</v>
      </c>
      <c r="K25" s="3" t="n">
        <v>0.0495</v>
      </c>
      <c r="L25" s="3" t="n">
        <f aca="false">1.2*K25*B25*1000</f>
        <v>797015.538</v>
      </c>
      <c r="M25" s="3" t="n">
        <f aca="false">+D25</f>
        <v>97845</v>
      </c>
      <c r="N25" s="3" t="n">
        <f aca="false">+E25+F25</f>
        <v>327411</v>
      </c>
      <c r="O25" s="3" t="n">
        <f aca="false">+L25+M25+N25</f>
        <v>1222271.538</v>
      </c>
      <c r="P25" s="3" t="n">
        <f aca="false">+M25+N25</f>
        <v>425256</v>
      </c>
    </row>
    <row r="26" customFormat="false" ht="14.65" hidden="false" customHeight="false" outlineLevel="0" collapsed="false">
      <c r="A26" s="5" t="s">
        <v>33</v>
      </c>
      <c r="B26" s="7" t="n">
        <v>6702.66</v>
      </c>
      <c r="C26" s="3" t="n">
        <v>433576</v>
      </c>
      <c r="D26" s="3" t="n">
        <v>37830</v>
      </c>
      <c r="E26" s="12" t="n">
        <v>33114</v>
      </c>
      <c r="F26" s="13" t="n">
        <v>64869</v>
      </c>
      <c r="G26" s="13" t="n">
        <v>31566</v>
      </c>
      <c r="H26" s="13" t="n">
        <v>57622</v>
      </c>
      <c r="K26" s="3" t="n">
        <v>0.0515</v>
      </c>
      <c r="L26" s="3" t="n">
        <f aca="false">1.2*K26*B26*1000</f>
        <v>414224.388</v>
      </c>
      <c r="M26" s="3" t="n">
        <f aca="false">+D26</f>
        <v>37830</v>
      </c>
      <c r="N26" s="3" t="n">
        <f aca="false">+E26+F26</f>
        <v>97983</v>
      </c>
      <c r="O26" s="3" t="n">
        <f aca="false">+L26+M26+N26</f>
        <v>550037.388</v>
      </c>
      <c r="P26" s="3" t="n">
        <f aca="false">+M26+N26</f>
        <v>135813</v>
      </c>
    </row>
    <row r="27" customFormat="false" ht="14.65" hidden="false" customHeight="false" outlineLevel="0" collapsed="false">
      <c r="A27" s="4" t="s">
        <v>34</v>
      </c>
      <c r="B27" s="7" t="n">
        <v>11494.67</v>
      </c>
      <c r="C27" s="3" t="n">
        <v>500132</v>
      </c>
      <c r="D27" s="3" t="n">
        <v>155672</v>
      </c>
      <c r="E27" s="10" t="n">
        <v>177283</v>
      </c>
      <c r="F27" s="11" t="n">
        <v>124228</v>
      </c>
      <c r="G27" s="11" t="n">
        <v>11715</v>
      </c>
      <c r="H27" s="11" t="n">
        <v>19421</v>
      </c>
      <c r="K27" s="3" t="n">
        <v>0.0475</v>
      </c>
      <c r="L27" s="3" t="n">
        <f aca="false">1.2*K27*B27*1000</f>
        <v>655196.19</v>
      </c>
      <c r="M27" s="3" t="n">
        <f aca="false">+D27</f>
        <v>155672</v>
      </c>
      <c r="N27" s="3" t="n">
        <f aca="false">+E27+F27</f>
        <v>301511</v>
      </c>
      <c r="O27" s="3" t="n">
        <f aca="false">+L27+M27+N27</f>
        <v>1112379.19</v>
      </c>
      <c r="P27" s="3" t="n">
        <f aca="false">+M27+N27</f>
        <v>457183</v>
      </c>
    </row>
    <row r="28" customFormat="false" ht="14.65" hidden="false" customHeight="false" outlineLevel="0" collapsed="false">
      <c r="A28" s="4" t="s">
        <v>35</v>
      </c>
      <c r="B28" s="7" t="n">
        <v>4165.41</v>
      </c>
      <c r="C28" s="3" t="n">
        <v>190349</v>
      </c>
      <c r="D28" s="3" t="n">
        <v>18401</v>
      </c>
      <c r="E28" s="10" t="n">
        <v>16843</v>
      </c>
      <c r="F28" s="11" t="n">
        <v>19424</v>
      </c>
      <c r="G28" s="11" t="n">
        <v>13958</v>
      </c>
      <c r="H28" s="11" t="n">
        <v>1723</v>
      </c>
      <c r="K28" s="3" t="n">
        <v>0.0515</v>
      </c>
      <c r="L28" s="3" t="n">
        <f aca="false">1.2*K28*B28*1000</f>
        <v>257422.338</v>
      </c>
      <c r="M28" s="3" t="n">
        <f aca="false">+D28</f>
        <v>18401</v>
      </c>
      <c r="N28" s="3" t="n">
        <f aca="false">+E28+F28</f>
        <v>36267</v>
      </c>
      <c r="O28" s="3" t="n">
        <f aca="false">+L28+M28+N28</f>
        <v>312090.338</v>
      </c>
      <c r="P28" s="3" t="n">
        <f aca="false">+M28+N28</f>
        <v>54668</v>
      </c>
    </row>
    <row r="29" customFormat="false" ht="14.65" hidden="false" customHeight="false" outlineLevel="0" collapsed="false">
      <c r="A29" s="4" t="s">
        <v>36</v>
      </c>
      <c r="B29" s="7" t="n">
        <v>5423.15</v>
      </c>
      <c r="C29" s="3" t="n">
        <v>272526</v>
      </c>
      <c r="D29" s="3" t="n">
        <v>36708</v>
      </c>
      <c r="E29" s="10" t="n">
        <v>43639</v>
      </c>
      <c r="F29" s="11" t="n">
        <v>42934</v>
      </c>
      <c r="G29" s="11" t="n">
        <v>15349</v>
      </c>
      <c r="H29" s="11" t="n">
        <v>27120</v>
      </c>
      <c r="K29" s="3" t="n">
        <v>0.0525</v>
      </c>
      <c r="L29" s="3" t="n">
        <f aca="false">1.2*K29*B29*1000</f>
        <v>341658.45</v>
      </c>
      <c r="M29" s="3" t="n">
        <f aca="false">+D29</f>
        <v>36708</v>
      </c>
      <c r="N29" s="3" t="n">
        <f aca="false">+E29+F29</f>
        <v>86573</v>
      </c>
      <c r="O29" s="3" t="n">
        <f aca="false">+L29+M29+N29</f>
        <v>464939.45</v>
      </c>
      <c r="P29" s="3" t="n">
        <f aca="false">+M29+N29</f>
        <v>123281</v>
      </c>
    </row>
    <row r="30" customFormat="false" ht="14.65" hidden="false" customHeight="false" outlineLevel="0" collapsed="false">
      <c r="A30" s="5" t="s">
        <v>37</v>
      </c>
      <c r="B30" s="7" t="n">
        <v>2782.09</v>
      </c>
      <c r="C30" s="3" t="s">
        <v>20</v>
      </c>
      <c r="D30" s="3" t="s">
        <v>20</v>
      </c>
      <c r="E30" s="12" t="n">
        <v>23360</v>
      </c>
      <c r="F30" s="13" t="n">
        <v>24049</v>
      </c>
      <c r="G30" s="13" t="n">
        <v>12962</v>
      </c>
      <c r="H30" s="13" t="n">
        <v>16786</v>
      </c>
      <c r="K30" s="3" t="n">
        <v>0.0515</v>
      </c>
      <c r="L30" s="3" t="n">
        <f aca="false">1.2*K30*B30*1000</f>
        <v>171933.162</v>
      </c>
      <c r="M30" s="3" t="str">
        <f aca="false">+D30</f>
        <v>NA</v>
      </c>
      <c r="N30" s="3" t="n">
        <f aca="false">+E30+F30</f>
        <v>47409</v>
      </c>
      <c r="O30" s="3" t="e">
        <f aca="false">+L30+M30+N30</f>
        <v>#VALUE!</v>
      </c>
      <c r="P30" s="3" t="e">
        <f aca="false">+M30+N30</f>
        <v>#VALUE!</v>
      </c>
    </row>
    <row r="31" customFormat="false" ht="14.65" hidden="false" customHeight="false" outlineLevel="0" collapsed="false">
      <c r="A31" s="4" t="s">
        <v>38</v>
      </c>
      <c r="B31" s="7" t="n">
        <v>2401.79</v>
      </c>
      <c r="C31" s="3" t="n">
        <v>171552</v>
      </c>
      <c r="D31" s="3" t="n">
        <v>58160</v>
      </c>
      <c r="E31" s="10" t="n">
        <v>96270</v>
      </c>
      <c r="F31" s="11" t="n">
        <v>46005</v>
      </c>
      <c r="G31" s="11" t="n">
        <v>21722</v>
      </c>
      <c r="H31" s="11" t="n">
        <v>4533</v>
      </c>
      <c r="K31" s="3" t="n">
        <v>0.0515</v>
      </c>
      <c r="L31" s="3" t="n">
        <f aca="false">1.2*K31*B31*1000</f>
        <v>148430.622</v>
      </c>
      <c r="M31" s="3" t="n">
        <f aca="false">+D31</f>
        <v>58160</v>
      </c>
      <c r="N31" s="3" t="n">
        <f aca="false">+E31+F31</f>
        <v>142275</v>
      </c>
      <c r="O31" s="3" t="n">
        <f aca="false">+L31+M31+N31</f>
        <v>348865.622</v>
      </c>
      <c r="P31" s="3" t="n">
        <f aca="false">+M31+N31</f>
        <v>200435</v>
      </c>
    </row>
    <row r="32" customFormat="false" ht="14.65" hidden="false" customHeight="false" outlineLevel="0" collapsed="false">
      <c r="A32" s="4" t="s">
        <v>39</v>
      </c>
      <c r="B32" s="7" t="n">
        <v>15409</v>
      </c>
      <c r="C32" s="3" t="n">
        <v>1041696</v>
      </c>
      <c r="D32" s="3" t="n">
        <v>197709</v>
      </c>
      <c r="E32" s="10" t="n">
        <v>381121</v>
      </c>
      <c r="F32" s="11" t="n">
        <v>254093</v>
      </c>
      <c r="G32" s="11" t="n">
        <v>238792</v>
      </c>
      <c r="H32" s="11" t="n">
        <v>220850</v>
      </c>
      <c r="K32" s="3" t="n">
        <v>0.0495</v>
      </c>
      <c r="L32" s="3" t="n">
        <f aca="false">1.2*K32*B32*1000</f>
        <v>915294.6</v>
      </c>
      <c r="M32" s="3" t="n">
        <f aca="false">+D32</f>
        <v>197709</v>
      </c>
      <c r="N32" s="3" t="n">
        <f aca="false">+E32+F32</f>
        <v>635214</v>
      </c>
      <c r="O32" s="3" t="n">
        <f aca="false">+L32+M32+N32</f>
        <v>1748217.6</v>
      </c>
      <c r="P32" s="3" t="n">
        <f aca="false">+M32+N32</f>
        <v>832923</v>
      </c>
    </row>
    <row r="33" customFormat="false" ht="14.65" hidden="false" customHeight="false" outlineLevel="0" collapsed="false">
      <c r="A33" s="4" t="s">
        <v>40</v>
      </c>
      <c r="B33" s="7" t="n">
        <v>4388.96</v>
      </c>
      <c r="C33" s="3" t="n">
        <v>316817</v>
      </c>
      <c r="D33" s="3" t="n">
        <v>52572</v>
      </c>
      <c r="E33" s="10" t="n">
        <v>65312</v>
      </c>
      <c r="F33" s="11" t="n">
        <v>26275</v>
      </c>
      <c r="G33" s="11" t="n">
        <v>2532</v>
      </c>
      <c r="H33" s="11" t="n">
        <v>2014</v>
      </c>
      <c r="K33" s="3" t="n">
        <v>0.0495</v>
      </c>
      <c r="L33" s="3" t="n">
        <f aca="false">1.2*K33*B33*1000</f>
        <v>260704.224</v>
      </c>
      <c r="M33" s="3" t="n">
        <f aca="false">+D33</f>
        <v>52572</v>
      </c>
      <c r="N33" s="3" t="n">
        <f aca="false">+E33+F33</f>
        <v>91587</v>
      </c>
      <c r="O33" s="3" t="n">
        <f aca="false">+L33+M33+N33</f>
        <v>404863.224</v>
      </c>
      <c r="P33" s="3" t="n">
        <f aca="false">+M33+N33</f>
        <v>144159</v>
      </c>
    </row>
    <row r="34" customFormat="false" ht="14.65" hidden="false" customHeight="false" outlineLevel="0" collapsed="false">
      <c r="A34" s="5" t="s">
        <v>41</v>
      </c>
      <c r="B34" s="7" t="n">
        <v>37413.16</v>
      </c>
      <c r="C34" s="3" t="n">
        <v>2205223</v>
      </c>
      <c r="D34" s="3" t="n">
        <v>287345</v>
      </c>
      <c r="E34" s="12" t="n">
        <v>616785</v>
      </c>
      <c r="F34" s="13" t="n">
        <v>283252</v>
      </c>
      <c r="G34" s="13" t="n">
        <v>586457</v>
      </c>
      <c r="H34" s="13" t="n">
        <v>409463</v>
      </c>
      <c r="K34" s="3" t="n">
        <v>0.0555</v>
      </c>
      <c r="L34" s="3" t="n">
        <f aca="false">1.2*K34*B34*1000</f>
        <v>2491716.456</v>
      </c>
      <c r="M34" s="3" t="n">
        <f aca="false">+D34</f>
        <v>287345</v>
      </c>
      <c r="N34" s="3" t="n">
        <f aca="false">+E34+F34</f>
        <v>900037</v>
      </c>
      <c r="O34" s="3" t="n">
        <f aca="false">+L34+M34+N34</f>
        <v>3679098.456</v>
      </c>
      <c r="P34" s="3" t="n">
        <f aca="false">+M34+N34</f>
        <v>1187382</v>
      </c>
    </row>
    <row r="35" customFormat="false" ht="14.65" hidden="false" customHeight="false" outlineLevel="0" collapsed="false">
      <c r="A35" s="4" t="s">
        <v>42</v>
      </c>
      <c r="B35" s="7" t="n">
        <v>10338.95</v>
      </c>
      <c r="C35" s="3" t="n">
        <v>820790</v>
      </c>
      <c r="D35" s="3" t="n">
        <v>384228</v>
      </c>
      <c r="E35" s="10" t="n">
        <v>127094</v>
      </c>
      <c r="F35" s="11" t="n">
        <v>203642</v>
      </c>
      <c r="G35" s="11" t="n">
        <v>28870</v>
      </c>
      <c r="H35" s="11" t="n">
        <v>17703</v>
      </c>
      <c r="K35" s="3" t="n">
        <v>0.0475</v>
      </c>
      <c r="L35" s="3" t="n">
        <f aca="false">1.2*K35*B35*1000</f>
        <v>589320.15</v>
      </c>
      <c r="M35" s="3" t="n">
        <f aca="false">+D35</f>
        <v>384228</v>
      </c>
      <c r="N35" s="3" t="n">
        <f aca="false">+E35+F35</f>
        <v>330736</v>
      </c>
      <c r="O35" s="3" t="n">
        <f aca="false">+L35+M35+N35</f>
        <v>1304284.15</v>
      </c>
      <c r="P35" s="3" t="n">
        <f aca="false">+M35+N35</f>
        <v>714964</v>
      </c>
    </row>
    <row r="36" customFormat="false" ht="14.65" hidden="false" customHeight="false" outlineLevel="0" collapsed="false">
      <c r="A36" s="4" t="s">
        <v>43</v>
      </c>
      <c r="B36" s="7" t="n">
        <v>3129.3</v>
      </c>
      <c r="C36" s="3" t="n">
        <v>123086</v>
      </c>
      <c r="D36" s="3" t="n">
        <v>30041</v>
      </c>
      <c r="E36" s="10" t="n">
        <v>20627</v>
      </c>
      <c r="F36" s="11" t="n">
        <v>15228</v>
      </c>
      <c r="G36" s="11" t="n">
        <v>6931</v>
      </c>
      <c r="H36" s="11" t="n">
        <v>13499</v>
      </c>
      <c r="K36" s="3" t="n">
        <v>0.0515</v>
      </c>
      <c r="L36" s="3" t="n">
        <f aca="false">1.2*K36*B36*1000</f>
        <v>193390.74</v>
      </c>
      <c r="M36" s="3" t="n">
        <f aca="false">+D36</f>
        <v>30041</v>
      </c>
      <c r="N36" s="3" t="n">
        <f aca="false">+E36+F36</f>
        <v>35855</v>
      </c>
      <c r="O36" s="3" t="n">
        <f aca="false">+L36+M36+N36</f>
        <v>259286.74</v>
      </c>
      <c r="P36" s="3" t="n">
        <f aca="false">+M36+N36</f>
        <v>65896</v>
      </c>
    </row>
    <row r="37" customFormat="false" ht="14.65" hidden="false" customHeight="false" outlineLevel="0" collapsed="false">
      <c r="A37" s="4" t="s">
        <v>44</v>
      </c>
      <c r="B37" s="7" t="n">
        <v>23735.85</v>
      </c>
      <c r="C37" s="3" t="n">
        <v>822230</v>
      </c>
      <c r="D37" s="3" t="n">
        <v>398983</v>
      </c>
      <c r="E37" s="10" t="n">
        <v>335689</v>
      </c>
      <c r="F37" s="11" t="n">
        <v>213155</v>
      </c>
      <c r="G37" s="11" t="n">
        <v>51708</v>
      </c>
      <c r="H37" s="11" t="n">
        <v>109564</v>
      </c>
      <c r="K37" s="3" t="n">
        <v>0.0515</v>
      </c>
      <c r="L37" s="3" t="n">
        <f aca="false">1.2*K37*B37*1000</f>
        <v>1466875.53</v>
      </c>
      <c r="M37" s="3" t="n">
        <f aca="false">+D37</f>
        <v>398983</v>
      </c>
      <c r="N37" s="3" t="n">
        <f aca="false">+E37+F37</f>
        <v>548844</v>
      </c>
      <c r="O37" s="3" t="n">
        <f aca="false">+L37+M37+N37</f>
        <v>2414702.53</v>
      </c>
      <c r="P37" s="3" t="n">
        <f aca="false">+M37+N37</f>
        <v>947827</v>
      </c>
    </row>
    <row r="38" customFormat="false" ht="14.65" hidden="false" customHeight="false" outlineLevel="0" collapsed="false">
      <c r="A38" s="5" t="s">
        <v>45</v>
      </c>
      <c r="B38" s="7" t="n">
        <v>6698.98</v>
      </c>
      <c r="C38" s="3" t="n">
        <v>333481</v>
      </c>
      <c r="D38" s="3" t="n">
        <v>85064</v>
      </c>
      <c r="E38" s="12" t="n">
        <v>191811</v>
      </c>
      <c r="F38" s="13" t="n">
        <v>41384</v>
      </c>
      <c r="G38" s="13" t="n">
        <v>56248</v>
      </c>
      <c r="H38" s="13" t="n">
        <v>85638</v>
      </c>
      <c r="K38" s="3" t="n">
        <v>0.0515</v>
      </c>
      <c r="L38" s="3" t="n">
        <f aca="false">1.2*K38*B38*1000</f>
        <v>413996.964</v>
      </c>
      <c r="M38" s="3" t="n">
        <f aca="false">+D38</f>
        <v>85064</v>
      </c>
      <c r="N38" s="3" t="n">
        <f aca="false">+E38+F38</f>
        <v>233195</v>
      </c>
      <c r="O38" s="3" t="n">
        <f aca="false">+L38+M38+N38</f>
        <v>732255.964</v>
      </c>
      <c r="P38" s="3" t="n">
        <f aca="false">+M38+N38</f>
        <v>318259</v>
      </c>
    </row>
    <row r="39" customFormat="false" ht="14.65" hidden="false" customHeight="false" outlineLevel="0" collapsed="false">
      <c r="A39" s="4" t="s">
        <v>46</v>
      </c>
      <c r="B39" s="7" t="n">
        <v>6837.71</v>
      </c>
      <c r="C39" s="3" t="n">
        <v>317143</v>
      </c>
      <c r="D39" s="3" t="n">
        <v>136717</v>
      </c>
      <c r="E39" s="10" t="n">
        <v>64501</v>
      </c>
      <c r="F39" s="11" t="n">
        <v>73433</v>
      </c>
      <c r="G39" s="11" t="n">
        <v>14067</v>
      </c>
      <c r="H39" s="11" t="n">
        <v>24162</v>
      </c>
      <c r="K39" s="3" t="n">
        <v>0.0515</v>
      </c>
      <c r="L39" s="3" t="n">
        <f aca="false">1.2*K39*B39*1000</f>
        <v>422570.478</v>
      </c>
      <c r="M39" s="3" t="n">
        <f aca="false">+D39</f>
        <v>136717</v>
      </c>
      <c r="N39" s="3" t="n">
        <f aca="false">+E39+F39</f>
        <v>137934</v>
      </c>
      <c r="O39" s="3" t="n">
        <f aca="false">+L39+M39+N39</f>
        <v>697221.478</v>
      </c>
      <c r="P39" s="3" t="n">
        <f aca="false">+M39+N39</f>
        <v>274651</v>
      </c>
    </row>
    <row r="40" customFormat="false" ht="14.65" hidden="false" customHeight="false" outlineLevel="0" collapsed="false">
      <c r="A40" s="4" t="s">
        <v>47</v>
      </c>
      <c r="B40" s="7" t="n">
        <v>24206.95</v>
      </c>
      <c r="C40" s="3" t="n">
        <v>1285147</v>
      </c>
      <c r="D40" s="3" t="n">
        <v>524044</v>
      </c>
      <c r="E40" s="10" t="n">
        <v>152494</v>
      </c>
      <c r="F40" s="11" t="n">
        <v>443935</v>
      </c>
      <c r="G40" s="11" t="n">
        <v>190151</v>
      </c>
      <c r="H40" s="11" t="n">
        <v>225189</v>
      </c>
      <c r="K40" s="3" t="n">
        <v>0.0535</v>
      </c>
      <c r="L40" s="3" t="n">
        <f aca="false">1.2*K40*B40*1000</f>
        <v>1554086.19</v>
      </c>
      <c r="M40" s="3" t="n">
        <f aca="false">+D40</f>
        <v>524044</v>
      </c>
      <c r="N40" s="3" t="n">
        <f aca="false">+E40+F40</f>
        <v>596429</v>
      </c>
      <c r="O40" s="3" t="n">
        <f aca="false">+L40+M40+N40</f>
        <v>2674559.19</v>
      </c>
      <c r="P40" s="3" t="n">
        <f aca="false">+M40+N40</f>
        <v>1120473</v>
      </c>
    </row>
    <row r="41" customFormat="false" ht="14.65" hidden="false" customHeight="false" outlineLevel="0" collapsed="false">
      <c r="A41" s="4" t="s">
        <v>48</v>
      </c>
      <c r="B41" s="7" t="n">
        <v>1980.89</v>
      </c>
      <c r="C41" s="3" t="n">
        <v>221563</v>
      </c>
      <c r="D41" s="3" t="n">
        <v>27882</v>
      </c>
      <c r="E41" s="10" t="n">
        <v>9798</v>
      </c>
      <c r="F41" s="11" t="n">
        <v>28023</v>
      </c>
      <c r="G41" s="11" t="n">
        <v>14684</v>
      </c>
      <c r="H41" s="11" t="n">
        <v>19770</v>
      </c>
      <c r="K41" s="3" t="n">
        <v>0.0535</v>
      </c>
      <c r="L41" s="3" t="n">
        <f aca="false">1.2*K41*B41*1000</f>
        <v>127173.138</v>
      </c>
      <c r="M41" s="3" t="n">
        <f aca="false">+D41</f>
        <v>27882</v>
      </c>
      <c r="N41" s="3" t="n">
        <f aca="false">+E41+F41</f>
        <v>37821</v>
      </c>
      <c r="O41" s="3" t="n">
        <f aca="false">+L41+M41+N41</f>
        <v>192876.138</v>
      </c>
      <c r="P41" s="3" t="n">
        <f aca="false">+M41+N41</f>
        <v>65703</v>
      </c>
    </row>
    <row r="42" customFormat="false" ht="14.65" hidden="false" customHeight="false" outlineLevel="0" collapsed="false">
      <c r="A42" s="5" t="s">
        <v>49</v>
      </c>
      <c r="B42" s="7" t="n">
        <v>4777.93</v>
      </c>
      <c r="C42" s="3" t="n">
        <v>406976</v>
      </c>
      <c r="D42" s="3" t="n">
        <v>127178</v>
      </c>
      <c r="E42" s="12" t="n">
        <v>52696</v>
      </c>
      <c r="F42" s="13" t="n">
        <v>86404</v>
      </c>
      <c r="G42" s="13" t="n">
        <v>917</v>
      </c>
      <c r="H42" s="13" t="n">
        <v>824</v>
      </c>
      <c r="K42" s="3" t="n">
        <v>0.0475</v>
      </c>
      <c r="L42" s="3" t="n">
        <f aca="false">1.2*K42*B42*1000</f>
        <v>272342.01</v>
      </c>
      <c r="M42" s="3" t="n">
        <f aca="false">+D42</f>
        <v>127178</v>
      </c>
      <c r="N42" s="3" t="n">
        <f aca="false">+E42+F42</f>
        <v>139100</v>
      </c>
      <c r="O42" s="3" t="n">
        <f aca="false">+L42+M42+N42</f>
        <v>538620.01</v>
      </c>
      <c r="P42" s="3" t="n">
        <f aca="false">+M42+N42</f>
        <v>266278</v>
      </c>
    </row>
    <row r="43" customFormat="false" ht="14.65" hidden="false" customHeight="false" outlineLevel="0" collapsed="false">
      <c r="A43" s="4" t="s">
        <v>50</v>
      </c>
      <c r="B43" s="7" t="n">
        <v>3227.74</v>
      </c>
      <c r="C43" s="3" t="n">
        <v>189051</v>
      </c>
      <c r="D43" s="3" t="n">
        <v>31853</v>
      </c>
      <c r="E43" s="10" t="n">
        <v>21403</v>
      </c>
      <c r="F43" s="11" t="n">
        <v>30636</v>
      </c>
      <c r="G43" s="11" t="n">
        <v>843</v>
      </c>
      <c r="H43" s="11" t="n">
        <v>1813</v>
      </c>
      <c r="K43" s="3" t="n">
        <v>0.0525</v>
      </c>
      <c r="L43" s="3" t="n">
        <f aca="false">1.2*K43*B43*1000</f>
        <v>203347.62</v>
      </c>
      <c r="M43" s="3" t="n">
        <f aca="false">+D43</f>
        <v>31853</v>
      </c>
      <c r="N43" s="3" t="n">
        <f aca="false">+E43+F43</f>
        <v>52039</v>
      </c>
      <c r="O43" s="3" t="n">
        <f aca="false">+L43+M43+N43</f>
        <v>287239.62</v>
      </c>
      <c r="P43" s="3" t="n">
        <f aca="false">+M43+N43</f>
        <v>83892</v>
      </c>
    </row>
    <row r="44" customFormat="false" ht="14.65" hidden="false" customHeight="false" outlineLevel="0" collapsed="false">
      <c r="A44" s="4" t="s">
        <v>51</v>
      </c>
      <c r="B44" s="7" t="n">
        <v>11110.42</v>
      </c>
      <c r="C44" s="3" t="n">
        <v>569278</v>
      </c>
      <c r="D44" s="3" t="n">
        <v>180047</v>
      </c>
      <c r="E44" s="10" t="n">
        <v>84136</v>
      </c>
      <c r="F44" s="11" t="n">
        <v>59239</v>
      </c>
      <c r="G44" s="11" t="n">
        <v>6057</v>
      </c>
      <c r="H44" s="11" t="n">
        <v>16894</v>
      </c>
      <c r="K44" s="3" t="n">
        <v>0.0475</v>
      </c>
      <c r="L44" s="3" t="n">
        <f aca="false">1.2*K44*B44*1000</f>
        <v>633293.94</v>
      </c>
      <c r="M44" s="3" t="n">
        <f aca="false">+D44</f>
        <v>180047</v>
      </c>
      <c r="N44" s="3" t="n">
        <f aca="false">+E44+F44</f>
        <v>143375</v>
      </c>
      <c r="O44" s="3" t="n">
        <f aca="false">+L44+M44+N44</f>
        <v>956715.94</v>
      </c>
      <c r="P44" s="3" t="n">
        <f aca="false">+M44+N44</f>
        <v>323422</v>
      </c>
    </row>
    <row r="45" customFormat="false" ht="14.65" hidden="false" customHeight="false" outlineLevel="0" collapsed="false">
      <c r="A45" s="4" t="s">
        <v>52</v>
      </c>
      <c r="B45" s="7" t="n">
        <v>36718.22</v>
      </c>
      <c r="C45" s="3" t="n">
        <v>1978812</v>
      </c>
      <c r="D45" s="3" t="n">
        <v>659794</v>
      </c>
      <c r="E45" s="10" t="n">
        <v>473048</v>
      </c>
      <c r="F45" s="11" t="n">
        <v>804375</v>
      </c>
      <c r="G45" s="11" t="n">
        <v>351868</v>
      </c>
      <c r="H45" s="11" t="n">
        <v>246617</v>
      </c>
      <c r="K45" s="3" t="n">
        <v>0.0515</v>
      </c>
      <c r="L45" s="3" t="n">
        <f aca="false">1.2*K45*B45*1000</f>
        <v>2269185.996</v>
      </c>
      <c r="M45" s="3" t="n">
        <f aca="false">+D45</f>
        <v>659794</v>
      </c>
      <c r="N45" s="3" t="n">
        <f aca="false">+E45+F45</f>
        <v>1277423</v>
      </c>
      <c r="O45" s="3" t="n">
        <f aca="false">+L45+M45+N45</f>
        <v>4206402.996</v>
      </c>
      <c r="P45" s="3" t="n">
        <f aca="false">+M45+N45</f>
        <v>1937217</v>
      </c>
    </row>
    <row r="46" customFormat="false" ht="14.65" hidden="false" customHeight="false" outlineLevel="0" collapsed="false">
      <c r="A46" s="5" t="s">
        <v>53</v>
      </c>
      <c r="B46" s="7" t="n">
        <v>4317.48</v>
      </c>
      <c r="C46" s="3" t="n">
        <v>230994</v>
      </c>
      <c r="D46" s="3" t="n">
        <v>57500</v>
      </c>
      <c r="E46" s="12" t="n">
        <v>40831</v>
      </c>
      <c r="F46" s="13" t="n">
        <v>33745</v>
      </c>
      <c r="G46" s="13" t="n">
        <v>0</v>
      </c>
      <c r="H46" s="13" t="n">
        <v>0</v>
      </c>
      <c r="K46" s="3" t="n">
        <v>0.0475</v>
      </c>
      <c r="L46" s="3" t="n">
        <f aca="false">1.2*K46*B46*1000</f>
        <v>246096.36</v>
      </c>
      <c r="M46" s="3" t="n">
        <f aca="false">+D46</f>
        <v>57500</v>
      </c>
      <c r="N46" s="3" t="n">
        <f aca="false">+E46+F46</f>
        <v>74576</v>
      </c>
      <c r="O46" s="3" t="n">
        <f aca="false">+L46+M46+N46</f>
        <v>378172.36</v>
      </c>
      <c r="P46" s="3" t="n">
        <f aca="false">+M46+N46</f>
        <v>132076</v>
      </c>
    </row>
    <row r="47" customFormat="false" ht="14.65" hidden="false" customHeight="false" outlineLevel="0" collapsed="false">
      <c r="A47" s="4" t="s">
        <v>54</v>
      </c>
      <c r="B47" s="7" t="n">
        <v>1819.61</v>
      </c>
      <c r="C47" s="3" t="n">
        <v>109862</v>
      </c>
      <c r="D47" s="3" t="n">
        <v>9748</v>
      </c>
      <c r="E47" s="10" t="n">
        <v>15067</v>
      </c>
      <c r="F47" s="11" t="n">
        <v>21072</v>
      </c>
      <c r="G47" s="11" t="n">
        <v>2015</v>
      </c>
      <c r="H47" s="11" t="n">
        <v>5990</v>
      </c>
      <c r="K47" s="3" t="n">
        <v>0.0515</v>
      </c>
      <c r="L47" s="3" t="n">
        <f aca="false">1.2*K47*B47*1000</f>
        <v>112451.898</v>
      </c>
      <c r="M47" s="3" t="n">
        <f aca="false">+D47</f>
        <v>9748</v>
      </c>
      <c r="N47" s="3" t="n">
        <f aca="false">+E47+F47</f>
        <v>36139</v>
      </c>
      <c r="O47" s="3" t="n">
        <f aca="false">+L47+M47+N47</f>
        <v>158338.898</v>
      </c>
      <c r="P47" s="3" t="n">
        <f aca="false">+M47+N47</f>
        <v>45887</v>
      </c>
    </row>
    <row r="48" customFormat="false" ht="14.65" hidden="false" customHeight="false" outlineLevel="0" collapsed="false">
      <c r="A48" s="4" t="s">
        <v>55</v>
      </c>
      <c r="B48" s="7" t="n">
        <v>14931.72</v>
      </c>
      <c r="C48" s="3" t="n">
        <v>625766</v>
      </c>
      <c r="D48" s="3" t="n">
        <v>429187</v>
      </c>
      <c r="E48" s="10" t="n">
        <v>143235</v>
      </c>
      <c r="F48" s="11" t="n">
        <v>168008</v>
      </c>
      <c r="G48" s="11" t="n">
        <v>99058</v>
      </c>
      <c r="H48" s="11" t="n">
        <v>190483</v>
      </c>
      <c r="K48" s="3" t="n">
        <v>0.0475</v>
      </c>
      <c r="L48" s="3" t="n">
        <f aca="false">1.2*K48*B48*1000</f>
        <v>851108.04</v>
      </c>
      <c r="M48" s="3" t="n">
        <f aca="false">+D48</f>
        <v>429187</v>
      </c>
      <c r="N48" s="3" t="n">
        <f aca="false">+E48+F48</f>
        <v>311243</v>
      </c>
      <c r="O48" s="3" t="n">
        <f aca="false">+L48+M48+N48</f>
        <v>1591538.04</v>
      </c>
      <c r="P48" s="3" t="n">
        <f aca="false">+M48+N48</f>
        <v>740430</v>
      </c>
    </row>
    <row r="49" customFormat="false" ht="14.65" hidden="false" customHeight="false" outlineLevel="0" collapsed="false">
      <c r="A49" s="4" t="s">
        <v>56</v>
      </c>
      <c r="B49" s="7" t="n">
        <v>12142.25</v>
      </c>
      <c r="C49" s="3" t="n">
        <v>676259</v>
      </c>
      <c r="D49" s="3" t="n">
        <v>64302</v>
      </c>
      <c r="E49" s="10" t="n">
        <v>239299</v>
      </c>
      <c r="F49" s="11" t="n">
        <v>173064</v>
      </c>
      <c r="G49" s="11" t="n">
        <v>72751</v>
      </c>
      <c r="H49" s="11" t="n">
        <v>95899</v>
      </c>
      <c r="K49" s="3" t="n">
        <v>0.0515</v>
      </c>
      <c r="L49" s="3" t="n">
        <f aca="false">1.2*K49*B49*1000</f>
        <v>750391.05</v>
      </c>
      <c r="M49" s="3" t="n">
        <f aca="false">+D49</f>
        <v>64302</v>
      </c>
      <c r="N49" s="3" t="n">
        <f aca="false">+E49+F49</f>
        <v>412363</v>
      </c>
      <c r="O49" s="3" t="n">
        <f aca="false">+L49+M49+N49</f>
        <v>1227056.05</v>
      </c>
      <c r="P49" s="3" t="n">
        <f aca="false">+M49+N49</f>
        <v>476665</v>
      </c>
    </row>
    <row r="50" customFormat="false" ht="14.65" hidden="false" customHeight="false" outlineLevel="0" collapsed="false">
      <c r="A50" s="5" t="s">
        <v>57</v>
      </c>
      <c r="B50" s="7" t="n">
        <v>7562.87</v>
      </c>
      <c r="C50" s="3" t="n">
        <v>467439</v>
      </c>
      <c r="D50" s="3" t="n">
        <v>145015</v>
      </c>
      <c r="E50" s="12" t="n">
        <v>31528</v>
      </c>
      <c r="F50" s="13" t="n">
        <v>38247</v>
      </c>
      <c r="G50" s="13" t="n">
        <v>29209</v>
      </c>
      <c r="H50" s="13" t="n">
        <v>41355</v>
      </c>
      <c r="K50" s="3" t="n">
        <v>0.0535</v>
      </c>
      <c r="L50" s="3" t="n">
        <f aca="false">1.2*K50*B50*1000</f>
        <v>485536.254</v>
      </c>
      <c r="M50" s="3" t="n">
        <f aca="false">+D50</f>
        <v>145015</v>
      </c>
      <c r="N50" s="3" t="n">
        <f aca="false">+E50+F50</f>
        <v>69775</v>
      </c>
      <c r="O50" s="3" t="n">
        <f aca="false">+L50+M50+N50</f>
        <v>700326.254</v>
      </c>
      <c r="P50" s="3" t="n">
        <f aca="false">+M50+N50</f>
        <v>214790</v>
      </c>
    </row>
    <row r="51" customFormat="false" ht="14.65" hidden="false" customHeight="false" outlineLevel="0" collapsed="false">
      <c r="A51" s="4" t="s">
        <v>58</v>
      </c>
      <c r="B51" s="7" t="n">
        <v>10981.49</v>
      </c>
      <c r="C51" s="3" t="n">
        <v>650001</v>
      </c>
      <c r="D51" s="3" t="n">
        <v>73606</v>
      </c>
      <c r="E51" s="10" t="n">
        <v>128447</v>
      </c>
      <c r="F51" s="11" t="n">
        <v>261228</v>
      </c>
      <c r="G51" s="11" t="n">
        <v>72021</v>
      </c>
      <c r="H51" s="11" t="n">
        <v>135877</v>
      </c>
      <c r="K51" s="3" t="n">
        <v>0.0515</v>
      </c>
      <c r="L51" s="3" t="n">
        <f aca="false">1.2*K51*B51*1000</f>
        <v>678656.082</v>
      </c>
      <c r="M51" s="3" t="n">
        <f aca="false">+D51</f>
        <v>73606</v>
      </c>
      <c r="N51" s="3" t="n">
        <f aca="false">+E51+F51</f>
        <v>389675</v>
      </c>
      <c r="O51" s="3" t="n">
        <f aca="false">+L51+M51+N51</f>
        <v>1141937.082</v>
      </c>
      <c r="P51" s="3" t="n">
        <f aca="false">+M51+N51</f>
        <v>463281</v>
      </c>
    </row>
    <row r="52" customFormat="false" ht="14.65" hidden="false" customHeight="false" outlineLevel="0" collapsed="false">
      <c r="A52" s="4" t="s">
        <v>59</v>
      </c>
      <c r="B52" s="7" t="n">
        <v>3571.6</v>
      </c>
      <c r="C52" s="3" t="n">
        <v>158786</v>
      </c>
      <c r="D52" s="3" t="n">
        <v>30126</v>
      </c>
      <c r="E52" s="10" t="n">
        <v>24522</v>
      </c>
      <c r="F52" s="11" t="n">
        <v>23896</v>
      </c>
      <c r="G52" s="11" t="n">
        <v>187</v>
      </c>
      <c r="H52" s="11" t="n">
        <v>1159</v>
      </c>
      <c r="K52" s="3" t="n">
        <v>0.0525</v>
      </c>
      <c r="L52" s="3" t="n">
        <f aca="false">1.2*K52*B52*1000</f>
        <v>225010.8</v>
      </c>
      <c r="M52" s="3" t="n">
        <f aca="false">+D52</f>
        <v>30126</v>
      </c>
      <c r="N52" s="3" t="n">
        <f aca="false">+E52+F52</f>
        <v>48418</v>
      </c>
      <c r="O52" s="3" t="n">
        <f aca="false">+L52+M52+N52</f>
        <v>303554.8</v>
      </c>
      <c r="P52" s="3" t="n">
        <f aca="false">+M52+N52</f>
        <v>78544</v>
      </c>
    </row>
    <row r="53" customFormat="false" ht="14.65" hidden="false" customHeight="false" outlineLevel="0" collapsed="false">
      <c r="A53" s="4"/>
      <c r="B53" s="7"/>
      <c r="E53" s="14"/>
      <c r="F53" s="14"/>
      <c r="G53" s="14"/>
      <c r="H53" s="14"/>
      <c r="K53" s="3" t="e">
        <f aca="false">NA()</f>
        <v>#N/A</v>
      </c>
      <c r="L53" s="3" t="e">
        <f aca="false">1.2*K53*B53*1000</f>
        <v>#N/A</v>
      </c>
      <c r="M53" s="3" t="n">
        <f aca="false">+D53</f>
        <v>0</v>
      </c>
      <c r="N53" s="3" t="n">
        <f aca="false">+E53+F53</f>
        <v>0</v>
      </c>
      <c r="O53" s="3" t="e">
        <f aca="false">+L53+M53+N53</f>
        <v>#N/A</v>
      </c>
      <c r="P53" s="3" t="n">
        <f aca="false">+M53+N53</f>
        <v>0</v>
      </c>
    </row>
    <row r="54" customFormat="false" ht="14.65" hidden="false" customHeight="false" outlineLevel="0" collapsed="false">
      <c r="A54" s="5" t="s">
        <v>61</v>
      </c>
      <c r="B54" s="3" t="n">
        <f aca="false">SUM(B2:B52)</f>
        <v>533344.04</v>
      </c>
      <c r="C54" s="3" t="n">
        <f aca="false">SUM(C2:C52)</f>
        <v>28233871</v>
      </c>
      <c r="D54" s="3" t="n">
        <f aca="false">SUM(D2:D52)</f>
        <v>6600276</v>
      </c>
      <c r="E54" s="3" t="n">
        <f aca="false">SUM(E2:E52)</f>
        <v>7296290</v>
      </c>
      <c r="F54" s="3" t="n">
        <f aca="false">SUM(F2:F52)</f>
        <v>7088262</v>
      </c>
      <c r="G54" s="3" t="n">
        <f aca="false">SUM(G2:G52)</f>
        <v>3620713</v>
      </c>
      <c r="H54" s="3" t="n">
        <f aca="false">SUM(H2:H52)</f>
        <v>4588962</v>
      </c>
      <c r="K54" s="3" t="n">
        <v>0.0595</v>
      </c>
      <c r="L54" s="3" t="n">
        <f aca="false">1.2*K54*B54*1000</f>
        <v>38080764.456</v>
      </c>
      <c r="M54" s="3" t="n">
        <f aca="false">+D54</f>
        <v>6600276</v>
      </c>
      <c r="N54" s="3" t="n">
        <f aca="false">+E54+F54</f>
        <v>14384552</v>
      </c>
      <c r="O54" s="3" t="n">
        <f aca="false">+L54+M54+N54</f>
        <v>59065592.456</v>
      </c>
      <c r="P54" s="3" t="n">
        <f aca="false">+M54+N54</f>
        <v>20984828</v>
      </c>
    </row>
    <row r="55" customFormat="false" ht="14.65" hidden="false" customHeight="false" outlineLevel="0" collapsed="false">
      <c r="A55" s="6" t="s">
        <v>81</v>
      </c>
      <c r="B55" s="3" t="n">
        <f aca="false">AVERAGE(B2:B52)</f>
        <v>10457.7262745098</v>
      </c>
      <c r="C55" s="3" t="n">
        <f aca="false">AVERAGE(C2:C52)</f>
        <v>588205.645833333</v>
      </c>
      <c r="D55" s="3" t="n">
        <f aca="false">AVERAGE(D2:D52)</f>
        <v>137505.75</v>
      </c>
      <c r="E55" s="3" t="n">
        <f aca="false">AVERAGE(E2:E52)</f>
        <v>143064.509803922</v>
      </c>
      <c r="F55" s="3" t="n">
        <f aca="false">AVERAGE(F2:F52)</f>
        <v>138985.529411765</v>
      </c>
      <c r="G55" s="3" t="n">
        <f aca="false">AVERAGE(G2:G52)</f>
        <v>70994.3725490196</v>
      </c>
      <c r="H55" s="3" t="n">
        <f aca="false">AVERAGE(H2:H52)</f>
        <v>89979.6470588235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:C54 C2:C54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68</v>
      </c>
      <c r="B1" s="2" t="s">
        <v>82</v>
      </c>
      <c r="C1" s="2" t="s">
        <v>83</v>
      </c>
      <c r="D1" s="7" t="s">
        <v>84</v>
      </c>
      <c r="E1" s="7"/>
      <c r="F1" s="2" t="s">
        <v>85</v>
      </c>
      <c r="G1" s="2"/>
      <c r="H1" s="2" t="s">
        <v>86</v>
      </c>
      <c r="I1" s="2" t="s">
        <v>87</v>
      </c>
      <c r="J1" s="2" t="s">
        <v>88</v>
      </c>
      <c r="K1" s="2" t="s">
        <v>89</v>
      </c>
      <c r="N1" s="2" t="s">
        <v>90</v>
      </c>
    </row>
    <row r="2" customFormat="false" ht="14.65" hidden="false" customHeight="false" outlineLevel="0" collapsed="false">
      <c r="A2" s="4" t="s">
        <v>8</v>
      </c>
      <c r="B2" s="2" t="n">
        <v>25028</v>
      </c>
      <c r="C2" s="2" t="n">
        <f aca="false">+B2/$B$54</f>
        <v>0.921233519346634</v>
      </c>
      <c r="D2" s="15" t="s">
        <v>91</v>
      </c>
      <c r="E2" s="15" t="n">
        <f aca="false">VLOOKUP(D2,$P$2:$Q$9,2,TRUE())</f>
        <v>0.0515</v>
      </c>
      <c r="F2" s="2" t="n">
        <v>25.49</v>
      </c>
      <c r="G2" s="2" t="n">
        <f aca="false">+F2/F$54</f>
        <v>1.35513024986709</v>
      </c>
      <c r="H2" s="2" t="n">
        <v>1.6</v>
      </c>
      <c r="I2" s="2" t="n">
        <v>0.419</v>
      </c>
      <c r="J2" s="2" t="n">
        <v>0.862</v>
      </c>
      <c r="K2" s="2" t="n">
        <v>217.9</v>
      </c>
      <c r="N2" s="2" t="n">
        <v>26376</v>
      </c>
      <c r="P2" s="15" t="s">
        <v>92</v>
      </c>
      <c r="Q2" s="3" t="n">
        <v>0.0555</v>
      </c>
      <c r="S2" s="15" t="s">
        <v>91</v>
      </c>
    </row>
    <row r="3" customFormat="false" ht="14.65" hidden="false" customHeight="false" outlineLevel="0" collapsed="false">
      <c r="A3" s="4" t="s">
        <v>9</v>
      </c>
      <c r="B3" s="2" t="n">
        <v>37943</v>
      </c>
      <c r="C3" s="2" t="n">
        <f aca="false">+B3/$B$54</f>
        <v>1.39661033340936</v>
      </c>
      <c r="D3" s="15" t="s">
        <v>91</v>
      </c>
      <c r="E3" s="15" t="n">
        <f aca="false">VLOOKUP(D3,$P$2:$Q$9,2,TRUE())</f>
        <v>0.0515</v>
      </c>
      <c r="F3" s="2" t="n">
        <v>31.89</v>
      </c>
      <c r="G3" s="2" t="n">
        <f aca="false">+F3/F$54</f>
        <v>1.69537480063796</v>
      </c>
      <c r="H3" s="2" t="n">
        <v>1.89</v>
      </c>
      <c r="I3" s="2" t="n">
        <v>0.464</v>
      </c>
      <c r="J3" s="2" t="n">
        <v>1.161</v>
      </c>
      <c r="K3" s="2" t="n">
        <v>855.03</v>
      </c>
      <c r="N3" s="2" t="n">
        <v>38889</v>
      </c>
      <c r="P3" s="15" t="s">
        <v>93</v>
      </c>
      <c r="Q3" s="3" t="n">
        <v>0.0525</v>
      </c>
      <c r="S3" s="15" t="s">
        <v>91</v>
      </c>
    </row>
    <row r="4" customFormat="false" ht="14.65" hidden="false" customHeight="false" outlineLevel="0" collapsed="false">
      <c r="A4" s="4" t="s">
        <v>10</v>
      </c>
      <c r="B4" s="2" t="n">
        <v>24995</v>
      </c>
      <c r="C4" s="2" t="n">
        <f aca="false">+B4/$B$54</f>
        <v>0.920018851529052</v>
      </c>
      <c r="D4" s="15" t="s">
        <v>93</v>
      </c>
      <c r="E4" s="15" t="n">
        <f aca="false">VLOOKUP(D4,$P$2:$Q$9,2,TRUE())</f>
        <v>0.0525</v>
      </c>
      <c r="F4" s="2" t="n">
        <v>22.42</v>
      </c>
      <c r="G4" s="2" t="n">
        <f aca="false">+F4/F$54</f>
        <v>1.19191919191919</v>
      </c>
      <c r="H4" s="2" t="n">
        <v>5.21</v>
      </c>
      <c r="I4" s="2" t="n">
        <v>0.354</v>
      </c>
      <c r="J4" s="2" t="n">
        <v>1.62</v>
      </c>
      <c r="K4" s="2" t="n">
        <v>206.73</v>
      </c>
      <c r="N4" s="2" t="n">
        <v>25906</v>
      </c>
      <c r="P4" s="15" t="s">
        <v>94</v>
      </c>
      <c r="Q4" s="3" t="n">
        <v>0.0535</v>
      </c>
      <c r="S4" s="15" t="s">
        <v>93</v>
      </c>
    </row>
    <row r="5" customFormat="false" ht="14.65" hidden="false" customHeight="false" outlineLevel="0" collapsed="false">
      <c r="A5" s="4" t="s">
        <v>11</v>
      </c>
      <c r="B5" s="2" t="n">
        <v>22793</v>
      </c>
      <c r="C5" s="2" t="n">
        <f aca="false">+B5/$B$54</f>
        <v>0.838967380792226</v>
      </c>
      <c r="D5" s="15" t="s">
        <v>91</v>
      </c>
      <c r="E5" s="15" t="n">
        <f aca="false">VLOOKUP(D5,$P$2:$Q$9,2,TRUE())</f>
        <v>0.0515</v>
      </c>
      <c r="F5" s="2" t="n">
        <v>26.28</v>
      </c>
      <c r="G5" s="2" t="n">
        <f aca="false">+F5/F$54</f>
        <v>1.39712918660287</v>
      </c>
      <c r="H5" s="2" t="n">
        <v>1.31</v>
      </c>
      <c r="I5" s="2" t="n">
        <v>0.544</v>
      </c>
      <c r="J5" s="2" t="n">
        <v>0.674</v>
      </c>
      <c r="K5" s="2" t="n">
        <v>259.97</v>
      </c>
      <c r="N5" s="2" t="n">
        <v>23336</v>
      </c>
      <c r="P5" s="15" t="s">
        <v>91</v>
      </c>
      <c r="Q5" s="3" t="n">
        <v>0.0515</v>
      </c>
      <c r="S5" s="15" t="s">
        <v>91</v>
      </c>
    </row>
    <row r="6" customFormat="false" ht="14.65" hidden="false" customHeight="false" outlineLevel="0" collapsed="false">
      <c r="A6" s="5" t="s">
        <v>12</v>
      </c>
      <c r="B6" s="2" t="n">
        <v>33080</v>
      </c>
      <c r="C6" s="2" t="n">
        <f aca="false">+B6/$B$54</f>
        <v>1.21761246683661</v>
      </c>
      <c r="D6" s="15" t="s">
        <v>94</v>
      </c>
      <c r="E6" s="15" t="n">
        <f aca="false">VLOOKUP(D6,$P$2:$Q$9,2,TRUE())</f>
        <v>0.0535</v>
      </c>
      <c r="F6" s="2" t="n">
        <v>28.79</v>
      </c>
      <c r="G6" s="2" t="n">
        <f aca="false">+F6/F$54</f>
        <v>1.53056884635832</v>
      </c>
      <c r="H6" s="2" t="n">
        <v>3.15</v>
      </c>
      <c r="I6" s="2" t="n">
        <v>0.414</v>
      </c>
      <c r="J6" s="2" t="n">
        <v>1.07</v>
      </c>
      <c r="K6" s="2" t="n">
        <v>256.86</v>
      </c>
      <c r="N6" s="2" t="n">
        <v>33795</v>
      </c>
      <c r="P6" s="15" t="s">
        <v>95</v>
      </c>
      <c r="Q6" s="3" t="n">
        <v>0.0495</v>
      </c>
      <c r="S6" s="15" t="s">
        <v>94</v>
      </c>
    </row>
    <row r="7" customFormat="false" ht="14.65" hidden="false" customHeight="false" outlineLevel="0" collapsed="false">
      <c r="A7" s="4" t="s">
        <v>13</v>
      </c>
      <c r="B7" s="2" t="n">
        <v>27380</v>
      </c>
      <c r="C7" s="2" t="n">
        <f aca="false">+B7/$B$54</f>
        <v>1.00780620743611</v>
      </c>
      <c r="D7" s="15" t="s">
        <v>93</v>
      </c>
      <c r="E7" s="15" t="n">
        <f aca="false">VLOOKUP(D7,$P$2:$Q$9,2,TRUE())</f>
        <v>0.0525</v>
      </c>
      <c r="F7" s="2" t="n">
        <v>28.35</v>
      </c>
      <c r="G7" s="2" t="n">
        <f aca="false">+F7/F$54</f>
        <v>1.50717703349282</v>
      </c>
      <c r="H7" s="2" t="n">
        <v>2.48</v>
      </c>
      <c r="I7" s="2" t="n">
        <v>0.362</v>
      </c>
      <c r="J7" s="2" t="n">
        <v>0.79</v>
      </c>
      <c r="K7" s="2" t="n">
        <v>201.17</v>
      </c>
      <c r="N7" s="2" t="n">
        <v>28148</v>
      </c>
      <c r="P7" s="15" t="s">
        <v>96</v>
      </c>
      <c r="Q7" s="3" t="n">
        <v>0.0475</v>
      </c>
      <c r="S7" s="15" t="s">
        <v>93</v>
      </c>
    </row>
    <row r="8" customFormat="false" ht="14.65" hidden="false" customHeight="false" outlineLevel="0" collapsed="false">
      <c r="A8" s="4" t="s">
        <v>14</v>
      </c>
      <c r="B8" s="2" t="n">
        <v>35320</v>
      </c>
      <c r="C8" s="2" t="n">
        <f aca="false">+B8/$B$54</f>
        <v>1.30006264596944</v>
      </c>
      <c r="D8" s="15" t="s">
        <v>91</v>
      </c>
      <c r="E8" s="15" t="n">
        <f aca="false">VLOOKUP(D8,$P$2:$Q$9,2,TRUE())</f>
        <v>0.0515</v>
      </c>
      <c r="F8" s="2" t="n">
        <v>32.4</v>
      </c>
      <c r="G8" s="2" t="n">
        <f aca="false">+F8/F$54</f>
        <v>1.72248803827751</v>
      </c>
      <c r="H8" s="2" t="n">
        <v>5.33</v>
      </c>
      <c r="I8" s="2" t="n">
        <v>0.631</v>
      </c>
      <c r="J8" s="2" t="n">
        <v>0.887</v>
      </c>
      <c r="K8" s="2" t="n">
        <v>336.99</v>
      </c>
      <c r="N8" s="2" t="n">
        <v>36143</v>
      </c>
      <c r="P8" s="15" t="s">
        <v>97</v>
      </c>
      <c r="Q8" s="3" t="n">
        <v>0.0595</v>
      </c>
      <c r="S8" s="15" t="s">
        <v>91</v>
      </c>
    </row>
    <row r="9" customFormat="false" ht="14.65" hidden="false" customHeight="false" outlineLevel="0" collapsed="false">
      <c r="A9" s="4" t="s">
        <v>15</v>
      </c>
      <c r="B9" s="2" t="n">
        <v>28593</v>
      </c>
      <c r="C9" s="2" t="n">
        <f aca="false">+B9/$B$54</f>
        <v>1.05245445176116</v>
      </c>
      <c r="D9" s="15" t="s">
        <v>95</v>
      </c>
      <c r="E9" s="15" t="n">
        <f aca="false">VLOOKUP(D9,$P$2:$Q$9,2,TRUE())</f>
        <v>0.0495</v>
      </c>
      <c r="F9" s="2" t="n">
        <v>26.85</v>
      </c>
      <c r="G9" s="2" t="n">
        <f aca="false">+F9/F$54</f>
        <v>1.4274322169059</v>
      </c>
      <c r="H9" s="2" t="n">
        <v>3.4</v>
      </c>
      <c r="I9" s="2" t="n">
        <v>0.632</v>
      </c>
      <c r="J9" s="2" t="n">
        <v>0.632</v>
      </c>
      <c r="K9" s="2" t="n">
        <v>261.13</v>
      </c>
      <c r="N9" s="2" t="n">
        <v>29298</v>
      </c>
      <c r="P9" s="15" t="s">
        <v>98</v>
      </c>
      <c r="Q9" s="3" t="n">
        <v>0.0575</v>
      </c>
      <c r="S9" s="15" t="s">
        <v>95</v>
      </c>
    </row>
    <row r="10" customFormat="false" ht="14.65" hidden="false" customHeight="false" outlineLevel="0" collapsed="false">
      <c r="A10" s="5" t="s">
        <v>16</v>
      </c>
      <c r="B10" s="2" t="n">
        <v>43855</v>
      </c>
      <c r="C10" s="2" t="n">
        <f aca="false">+B10/$B$54</f>
        <v>1.61421991333493</v>
      </c>
      <c r="D10" s="15" t="s">
        <v>93</v>
      </c>
      <c r="E10" s="15" t="n">
        <f aca="false">VLOOKUP(D10,$P$2:$Q$9,2,TRUE())</f>
        <v>0.0525</v>
      </c>
      <c r="F10" s="2" t="n">
        <v>54.49</v>
      </c>
      <c r="G10" s="2" t="n">
        <f aca="false">+F10/F$54</f>
        <v>2.89686337054758</v>
      </c>
      <c r="H10" s="2" t="n">
        <v>10.13</v>
      </c>
      <c r="I10" s="2" t="n">
        <v>0.488</v>
      </c>
      <c r="J10" s="2" t="n">
        <v>0.898</v>
      </c>
      <c r="K10" s="2" t="n">
        <v>616</v>
      </c>
      <c r="N10" s="2" t="n">
        <v>46872</v>
      </c>
      <c r="S10" s="15" t="s">
        <v>93</v>
      </c>
    </row>
    <row r="11" customFormat="false" ht="14.65" hidden="false" customHeight="false" outlineLevel="0" collapsed="false">
      <c r="A11" s="4" t="s">
        <v>17</v>
      </c>
      <c r="B11" s="2" t="n">
        <v>27116</v>
      </c>
      <c r="C11" s="2" t="n">
        <f aca="false">+B11/$B$54</f>
        <v>0.998088864895451</v>
      </c>
      <c r="D11" s="15" t="s">
        <v>91</v>
      </c>
      <c r="E11" s="15" t="n">
        <f aca="false">VLOOKUP(D11,$P$2:$Q$9,2,TRUE())</f>
        <v>0.0515</v>
      </c>
      <c r="F11" s="2" t="n">
        <v>19.02</v>
      </c>
      <c r="G11" s="2" t="n">
        <f aca="false">+F11/F$54</f>
        <v>1.01116427432217</v>
      </c>
      <c r="H11" s="2" t="n">
        <v>2.51</v>
      </c>
      <c r="I11" s="2" t="n">
        <v>0.377</v>
      </c>
      <c r="J11" s="2" t="n">
        <v>0.66</v>
      </c>
      <c r="K11" s="2" t="n">
        <v>320.1</v>
      </c>
      <c r="N11" s="2" t="n">
        <v>27315</v>
      </c>
      <c r="S11" s="15" t="s">
        <v>91</v>
      </c>
    </row>
    <row r="12" customFormat="false" ht="14.65" hidden="false" customHeight="false" outlineLevel="0" collapsed="false">
      <c r="A12" s="4" t="s">
        <v>18</v>
      </c>
      <c r="B12" s="2" t="n">
        <v>24431</v>
      </c>
      <c r="C12" s="2" t="n">
        <f aca="false">+B12/$B$54</f>
        <v>0.899259074283108</v>
      </c>
      <c r="D12" s="15" t="s">
        <v>96</v>
      </c>
      <c r="E12" s="15" t="n">
        <f aca="false">VLOOKUP(D12,$P$2:$Q$9,2,TRUE())</f>
        <v>0.0475</v>
      </c>
      <c r="F12" s="2" t="n">
        <v>30.47</v>
      </c>
      <c r="G12" s="2" t="n">
        <f aca="false">+F12/F$54</f>
        <v>1.61988304093567</v>
      </c>
      <c r="H12" s="2" t="n">
        <v>2.14</v>
      </c>
      <c r="I12" s="2" t="n">
        <v>0.399</v>
      </c>
      <c r="J12" s="2" t="n">
        <v>0.868</v>
      </c>
      <c r="K12" s="2" t="n">
        <v>308.24</v>
      </c>
      <c r="N12" s="2" t="n">
        <v>24890</v>
      </c>
      <c r="S12" s="15" t="s">
        <v>96</v>
      </c>
    </row>
    <row r="13" customFormat="false" ht="14.65" hidden="false" customHeight="false" outlineLevel="0" collapsed="false">
      <c r="A13" s="4" t="s">
        <v>19</v>
      </c>
      <c r="B13" s="2" t="n">
        <v>30420</v>
      </c>
      <c r="C13" s="2" t="n">
        <f aca="false">+B13/$B$54</f>
        <v>1.11970287911637</v>
      </c>
      <c r="D13" s="15" t="s">
        <v>91</v>
      </c>
      <c r="E13" s="15" t="n">
        <f aca="false">VLOOKUP(D13,$P$2:$Q$9,2,TRUE())</f>
        <v>0.0515</v>
      </c>
      <c r="F13" s="2" t="n">
        <v>65.14</v>
      </c>
      <c r="G13" s="2" t="n">
        <f aca="false">+F13/F$54</f>
        <v>3.46305156831473</v>
      </c>
      <c r="H13" s="2" t="n">
        <v>18.58</v>
      </c>
      <c r="I13" s="2" t="n">
        <v>0.585</v>
      </c>
      <c r="J13" s="2" t="n">
        <v>0.585</v>
      </c>
      <c r="K13" s="2" t="n">
        <v>616.43</v>
      </c>
      <c r="N13" s="2" t="n">
        <v>31136</v>
      </c>
      <c r="S13" s="15" t="s">
        <v>91</v>
      </c>
    </row>
    <row r="14" customFormat="false" ht="14.65" hidden="false" customHeight="false" outlineLevel="0" collapsed="false">
      <c r="A14" s="5" t="s">
        <v>21</v>
      </c>
      <c r="B14" s="2" t="n">
        <v>22276</v>
      </c>
      <c r="C14" s="2" t="n">
        <f aca="false">+B14/$B$54</f>
        <v>0.819937584983444</v>
      </c>
      <c r="D14" s="15" t="s">
        <v>93</v>
      </c>
      <c r="E14" s="15" t="n">
        <f aca="false">VLOOKUP(D14,$P$2:$Q$9,2,TRUE())</f>
        <v>0.0525</v>
      </c>
      <c r="F14" s="2" t="n">
        <v>21.82</v>
      </c>
      <c r="G14" s="2" t="n">
        <f aca="false">+F14/F$54</f>
        <v>1.16002126528442</v>
      </c>
      <c r="H14" s="2" t="n">
        <v>2.79</v>
      </c>
      <c r="I14" s="2" t="n">
        <v>0.482</v>
      </c>
      <c r="J14" s="2" t="n">
        <v>0.714</v>
      </c>
      <c r="K14" s="2" t="n">
        <v>242.58</v>
      </c>
      <c r="N14" s="2" t="n">
        <v>23261</v>
      </c>
      <c r="S14" s="15" t="s">
        <v>93</v>
      </c>
    </row>
    <row r="15" customFormat="false" ht="14.65" hidden="false" customHeight="false" outlineLevel="0" collapsed="false">
      <c r="A15" s="4" t="s">
        <v>22</v>
      </c>
      <c r="B15" s="2" t="n">
        <v>29712</v>
      </c>
      <c r="C15" s="2" t="n">
        <f aca="false">+B15/$B$54</f>
        <v>1.09364273321189</v>
      </c>
      <c r="D15" s="15" t="s">
        <v>94</v>
      </c>
      <c r="E15" s="15" t="n">
        <f aca="false">VLOOKUP(D15,$P$2:$Q$9,2,TRUE())</f>
        <v>0.0535</v>
      </c>
      <c r="F15" s="2" t="n">
        <v>29.97</v>
      </c>
      <c r="G15" s="2" t="n">
        <f aca="false">+F15/F$54</f>
        <v>1.5933014354067</v>
      </c>
      <c r="H15" s="2" t="n">
        <v>4.26</v>
      </c>
      <c r="I15" s="2" t="n">
        <v>0.605</v>
      </c>
      <c r="J15" s="2" t="n">
        <v>0.868</v>
      </c>
      <c r="K15" s="2" t="n">
        <v>387.64</v>
      </c>
      <c r="N15" s="2" t="n">
        <v>30507</v>
      </c>
      <c r="S15" s="15" t="s">
        <v>94</v>
      </c>
    </row>
    <row r="16" customFormat="false" ht="14.65" hidden="false" customHeight="false" outlineLevel="0" collapsed="false">
      <c r="A16" s="4" t="s">
        <v>23</v>
      </c>
      <c r="B16" s="2" t="n">
        <v>25309</v>
      </c>
      <c r="C16" s="2" t="n">
        <f aca="false">+B16/$B$54</f>
        <v>0.931576599853922</v>
      </c>
      <c r="D16" s="15" t="s">
        <v>93</v>
      </c>
      <c r="E16" s="15" t="n">
        <f aca="false">VLOOKUP(D16,$P$2:$Q$9,2,TRUE())</f>
        <v>0.0525</v>
      </c>
      <c r="F16" s="2" t="n">
        <v>22.9</v>
      </c>
      <c r="G16" s="2" t="n">
        <f aca="false">+F16/F$54</f>
        <v>1.21743753322701</v>
      </c>
      <c r="H16" s="2" t="n">
        <v>6.97</v>
      </c>
      <c r="I16" s="2" t="n">
        <v>0.474</v>
      </c>
      <c r="J16" s="2" t="n">
        <v>0.811</v>
      </c>
      <c r="K16" s="2" t="n">
        <v>295.89</v>
      </c>
      <c r="N16" s="2" t="n">
        <v>25876</v>
      </c>
    </row>
    <row r="17" customFormat="false" ht="14.65" hidden="false" customHeight="false" outlineLevel="0" collapsed="false">
      <c r="A17" s="4" t="s">
        <v>24</v>
      </c>
      <c r="B17" s="2" t="n">
        <v>24183</v>
      </c>
      <c r="C17" s="2" t="n">
        <f aca="false">+B17/$B$54</f>
        <v>0.890130661593402</v>
      </c>
      <c r="D17" s="15" t="s">
        <v>93</v>
      </c>
      <c r="E17" s="15" t="n">
        <f aca="false">VLOOKUP(D17,$P$2:$Q$9,2,TRUE())</f>
        <v>0.0525</v>
      </c>
      <c r="F17" s="2" t="n">
        <v>22.93</v>
      </c>
      <c r="G17" s="2" t="n">
        <f aca="false">+F17/F$54</f>
        <v>1.21903242955875</v>
      </c>
      <c r="H17" s="2" t="n">
        <v>2.17</v>
      </c>
      <c r="I17" s="2" t="n">
        <v>0.43</v>
      </c>
      <c r="J17" s="2" t="n">
        <v>0.782</v>
      </c>
      <c r="K17" s="2" t="n">
        <v>242.23</v>
      </c>
      <c r="N17" s="2" t="n">
        <v>24735</v>
      </c>
    </row>
    <row r="18" customFormat="false" ht="14.65" hidden="false" customHeight="false" outlineLevel="0" collapsed="false">
      <c r="A18" s="5" t="s">
        <v>25</v>
      </c>
      <c r="B18" s="2" t="n">
        <v>22923</v>
      </c>
      <c r="C18" s="2" t="n">
        <f aca="false">+B18/$B$54</f>
        <v>0.843752435831185</v>
      </c>
      <c r="D18" s="15" t="s">
        <v>93</v>
      </c>
      <c r="E18" s="15" t="n">
        <f aca="false">VLOOKUP(D18,$P$2:$Q$9,2,TRUE())</f>
        <v>0.0525</v>
      </c>
      <c r="F18" s="2" t="n">
        <v>24.42</v>
      </c>
      <c r="G18" s="2" t="n">
        <f aca="false">+F18/F$54</f>
        <v>1.29824561403509</v>
      </c>
      <c r="H18" s="2" t="n">
        <v>2.15</v>
      </c>
      <c r="I18" s="2" t="n">
        <v>0.553</v>
      </c>
      <c r="J18" s="2" t="n">
        <v>0.755</v>
      </c>
      <c r="K18" s="2" t="n">
        <v>279.65</v>
      </c>
      <c r="N18" s="2" t="n">
        <v>23243</v>
      </c>
    </row>
    <row r="19" customFormat="false" ht="14.65" hidden="false" customHeight="false" outlineLevel="0" collapsed="false">
      <c r="A19" s="4" t="s">
        <v>26</v>
      </c>
      <c r="B19" s="2" t="n">
        <v>23908</v>
      </c>
      <c r="C19" s="2" t="n">
        <f aca="false">+B19/$B$54</f>
        <v>0.880008429780219</v>
      </c>
      <c r="D19" s="15" t="s">
        <v>91</v>
      </c>
      <c r="E19" s="15" t="n">
        <f aca="false">VLOOKUP(D19,$P$2:$Q$9,2,TRUE())</f>
        <v>0.0515</v>
      </c>
      <c r="F19" s="2" t="n">
        <v>28.41</v>
      </c>
      <c r="G19" s="2" t="n">
        <f aca="false">+F19/F$54</f>
        <v>1.5103668261563</v>
      </c>
      <c r="H19" s="2" t="n">
        <v>7.43</v>
      </c>
      <c r="I19" s="2" t="n">
        <v>0.513</v>
      </c>
      <c r="J19" s="2" t="n">
        <v>0.792</v>
      </c>
      <c r="K19" s="2" t="n">
        <v>307.8</v>
      </c>
      <c r="N19" s="2" t="n">
        <v>24444</v>
      </c>
    </row>
    <row r="20" customFormat="false" ht="14.65" hidden="false" customHeight="false" outlineLevel="0" collapsed="false">
      <c r="A20" s="4" t="s">
        <v>27</v>
      </c>
      <c r="B20" s="2" t="n">
        <v>22383</v>
      </c>
      <c r="C20" s="2" t="n">
        <f aca="false">+B20/$B$54</f>
        <v>0.823876053361664</v>
      </c>
      <c r="D20" s="15" t="s">
        <v>99</v>
      </c>
      <c r="E20" s="15" t="n">
        <f aca="false">VLOOKUP(D20,$P$2:$Q$9,2,TRUE())</f>
        <v>0.0595</v>
      </c>
      <c r="F20" s="2" t="n">
        <v>28.62</v>
      </c>
      <c r="G20" s="2" t="n">
        <f aca="false">+F20/F$54</f>
        <v>1.52153110047847</v>
      </c>
      <c r="H20" s="2" t="n">
        <v>5.79</v>
      </c>
      <c r="I20" s="2" t="n">
        <v>0.325</v>
      </c>
      <c r="J20" s="2" t="n">
        <v>0.685</v>
      </c>
      <c r="K20" s="2" t="n">
        <v>215.76</v>
      </c>
      <c r="N20" s="2" t="n">
        <v>22775</v>
      </c>
    </row>
    <row r="21" customFormat="false" ht="14.65" hidden="false" customHeight="false" outlineLevel="0" collapsed="false">
      <c r="A21" s="4" t="s">
        <v>28</v>
      </c>
      <c r="B21" s="2" t="n">
        <v>24466</v>
      </c>
      <c r="C21" s="2" t="n">
        <f aca="false">+B21/$B$54</f>
        <v>0.900547358332058</v>
      </c>
      <c r="D21" s="15" t="s">
        <v>91</v>
      </c>
      <c r="E21" s="15" t="n">
        <f aca="false">VLOOKUP(D21,$P$2:$Q$9,2,TRUE())</f>
        <v>0.0515</v>
      </c>
      <c r="F21" s="2" t="n">
        <v>24.53</v>
      </c>
      <c r="G21" s="2" t="n">
        <f aca="false">+F21/F$54</f>
        <v>1.30409356725146</v>
      </c>
      <c r="H21" s="2" t="n">
        <v>4.24</v>
      </c>
      <c r="I21" s="2" t="n">
        <v>0.811</v>
      </c>
      <c r="J21" s="2" t="n">
        <v>0.806</v>
      </c>
      <c r="K21" s="2" t="n">
        <v>300.09</v>
      </c>
      <c r="N21" s="2" t="n">
        <v>25076</v>
      </c>
    </row>
    <row r="22" customFormat="false" ht="14.65" hidden="false" customHeight="false" outlineLevel="0" collapsed="false">
      <c r="A22" s="5" t="s">
        <v>29</v>
      </c>
      <c r="B22" s="2" t="n">
        <v>32930</v>
      </c>
      <c r="C22" s="2" t="n">
        <f aca="false">+B22/$B$54</f>
        <v>1.21209124948396</v>
      </c>
      <c r="D22" s="15" t="s">
        <v>96</v>
      </c>
      <c r="E22" s="15" t="n">
        <f aca="false">VLOOKUP(D22,$P$2:$Q$9,2,TRUE())</f>
        <v>0.0475</v>
      </c>
      <c r="F22" s="2" t="n">
        <v>26.2</v>
      </c>
      <c r="G22" s="2" t="n">
        <f aca="false">+F22/F$54</f>
        <v>1.39287612971824</v>
      </c>
      <c r="H22" s="2" t="n">
        <v>2.48</v>
      </c>
      <c r="I22" s="2" t="n">
        <v>0.505</v>
      </c>
      <c r="J22" s="2" t="n">
        <v>0.808</v>
      </c>
      <c r="K22" s="2" t="n">
        <v>286.69</v>
      </c>
      <c r="N22" s="2" t="n">
        <v>34052</v>
      </c>
    </row>
    <row r="23" customFormat="false" ht="14.65" hidden="false" customHeight="false" outlineLevel="0" collapsed="false">
      <c r="A23" s="4" t="s">
        <v>30</v>
      </c>
      <c r="B23" s="2" t="n">
        <v>31609</v>
      </c>
      <c r="C23" s="2" t="n">
        <f aca="false">+B23/$B$54</f>
        <v>1.16346772866501</v>
      </c>
      <c r="D23" s="15" t="s">
        <v>94</v>
      </c>
      <c r="E23" s="15" t="n">
        <f aca="false">VLOOKUP(D23,$P$2:$Q$9,2,TRUE())</f>
        <v>0.0535</v>
      </c>
      <c r="F23" s="2" t="n">
        <v>28.96</v>
      </c>
      <c r="G23" s="2" t="n">
        <f aca="false">+F23/F$54</f>
        <v>1.53960659223817</v>
      </c>
      <c r="H23" s="2" t="n">
        <v>3.17</v>
      </c>
      <c r="I23" s="2" t="n">
        <v>0.719</v>
      </c>
      <c r="J23" s="2" t="n">
        <v>0.683</v>
      </c>
      <c r="K23" s="2" t="n">
        <v>93.8</v>
      </c>
      <c r="N23" s="2" t="n">
        <v>33039</v>
      </c>
    </row>
    <row r="24" customFormat="false" ht="14.65" hidden="false" customHeight="false" outlineLevel="0" collapsed="false">
      <c r="A24" s="4" t="s">
        <v>31</v>
      </c>
      <c r="B24" s="2" t="n">
        <v>30074</v>
      </c>
      <c r="C24" s="2" t="n">
        <f aca="false">+B24/$B$54</f>
        <v>1.10696727108961</v>
      </c>
      <c r="D24" s="15" t="s">
        <v>94</v>
      </c>
      <c r="E24" s="15" t="n">
        <f aca="false">VLOOKUP(D24,$P$2:$Q$9,2,TRUE())</f>
        <v>0.0535</v>
      </c>
      <c r="F24" s="2" t="n">
        <v>26.64</v>
      </c>
      <c r="G24" s="2" t="n">
        <f aca="false">+F24/F$54</f>
        <v>1.41626794258373</v>
      </c>
      <c r="H24" s="2" t="n">
        <v>3.23</v>
      </c>
      <c r="I24" s="2" t="n">
        <v>0.557</v>
      </c>
      <c r="J24" s="2" t="n">
        <v>1.1</v>
      </c>
      <c r="K24" s="2" t="n">
        <v>268.24</v>
      </c>
      <c r="N24" s="2" t="n">
        <v>30740</v>
      </c>
    </row>
    <row r="25" customFormat="false" ht="14.65" hidden="false" customHeight="false" outlineLevel="0" collapsed="false">
      <c r="A25" s="4" t="s">
        <v>32</v>
      </c>
      <c r="B25" s="2" t="n">
        <v>28052</v>
      </c>
      <c r="C25" s="2" t="n">
        <f aca="false">+B25/$B$54</f>
        <v>1.03254126117595</v>
      </c>
      <c r="D25" s="15" t="s">
        <v>95</v>
      </c>
      <c r="E25" s="15" t="n">
        <f aca="false">VLOOKUP(D25,$P$2:$Q$9,2,TRUE())</f>
        <v>0.0495</v>
      </c>
      <c r="F25" s="2" t="n">
        <v>19.28</v>
      </c>
      <c r="G25" s="2" t="n">
        <f aca="false">+F25/F$54</f>
        <v>1.02498670919724</v>
      </c>
      <c r="H25" s="2" t="n">
        <v>1.58</v>
      </c>
      <c r="I25" s="2" t="n">
        <v>0.447</v>
      </c>
      <c r="J25" s="2" t="n">
        <v>0.825</v>
      </c>
      <c r="K25" s="2" t="n">
        <v>150.76</v>
      </c>
      <c r="N25" s="2" t="n">
        <v>28807</v>
      </c>
    </row>
    <row r="26" customFormat="false" ht="14.65" hidden="false" customHeight="false" outlineLevel="0" collapsed="false">
      <c r="A26" s="5" t="s">
        <v>33</v>
      </c>
      <c r="B26" s="2" t="n">
        <v>20777</v>
      </c>
      <c r="C26" s="2" t="n">
        <f aca="false">+B26/$B$54</f>
        <v>0.764762219572679</v>
      </c>
      <c r="D26" s="15" t="s">
        <v>91</v>
      </c>
      <c r="E26" s="15" t="n">
        <f aca="false">VLOOKUP(D26,$P$2:$Q$9,2,TRUE())</f>
        <v>0.0515</v>
      </c>
      <c r="F26" s="2" t="n">
        <v>29.17</v>
      </c>
      <c r="G26" s="2" t="n">
        <f aca="false">+F26/F$54</f>
        <v>1.55077086656034</v>
      </c>
      <c r="H26" s="2" t="n">
        <v>1.65</v>
      </c>
      <c r="I26" s="2" t="n">
        <v>0.334</v>
      </c>
      <c r="J26" s="2" t="n">
        <v>0.74</v>
      </c>
      <c r="K26" s="2" t="n">
        <v>211.04</v>
      </c>
      <c r="N26" s="2" t="n">
        <v>21643</v>
      </c>
    </row>
    <row r="27" customFormat="false" ht="14.65" hidden="false" customHeight="false" outlineLevel="0" collapsed="false">
      <c r="A27" s="4" t="s">
        <v>34</v>
      </c>
      <c r="B27" s="2" t="n">
        <v>24807</v>
      </c>
      <c r="C27" s="2" t="n">
        <f aca="false">+B27/$B$54</f>
        <v>0.913098925780404</v>
      </c>
      <c r="D27" s="15" t="s">
        <v>96</v>
      </c>
      <c r="E27" s="15" t="n">
        <f aca="false">VLOOKUP(D27,$P$2:$Q$9,2,TRUE())</f>
        <v>0.0475</v>
      </c>
      <c r="F27" s="2" t="n">
        <v>23.54</v>
      </c>
      <c r="G27" s="2" t="n">
        <f aca="false">+F27/F$54</f>
        <v>1.25146198830409</v>
      </c>
      <c r="H27" s="2" t="n">
        <v>2.57</v>
      </c>
      <c r="I27" s="2" t="n">
        <v>0.606</v>
      </c>
      <c r="J27" s="2" t="n">
        <v>0.771</v>
      </c>
      <c r="K27" s="2" t="n">
        <v>317.83</v>
      </c>
      <c r="N27" s="2" t="n">
        <v>25475</v>
      </c>
    </row>
    <row r="28" customFormat="false" ht="14.65" hidden="false" customHeight="false" outlineLevel="0" collapsed="false">
      <c r="A28" s="4" t="s">
        <v>35</v>
      </c>
      <c r="B28" s="2" t="n">
        <v>23744</v>
      </c>
      <c r="C28" s="2" t="n">
        <f aca="false">+B28/$B$54</f>
        <v>0.873971898807994</v>
      </c>
      <c r="D28" s="15" t="s">
        <v>91</v>
      </c>
      <c r="E28" s="15" t="n">
        <f aca="false">VLOOKUP(D28,$P$2:$Q$9,2,TRUE())</f>
        <v>0.0515</v>
      </c>
      <c r="F28" s="2" t="n">
        <v>23.74</v>
      </c>
      <c r="G28" s="2" t="n">
        <f aca="false">+F28/F$54</f>
        <v>1.26209463051568</v>
      </c>
      <c r="H28" s="2" t="n">
        <v>3.21</v>
      </c>
      <c r="I28" s="2" t="n">
        <v>0.513</v>
      </c>
      <c r="J28" s="2" t="n">
        <v>0.655</v>
      </c>
      <c r="K28" s="2" t="n">
        <v>238.51</v>
      </c>
      <c r="N28" s="2" t="n">
        <v>24180</v>
      </c>
    </row>
    <row r="29" customFormat="false" ht="14.65" hidden="false" customHeight="false" outlineLevel="0" collapsed="false">
      <c r="A29" s="4" t="s">
        <v>36</v>
      </c>
      <c r="B29" s="2" t="n">
        <v>23214</v>
      </c>
      <c r="C29" s="2" t="n">
        <f aca="false">+B29/$B$54</f>
        <v>0.854463597495316</v>
      </c>
      <c r="D29" s="15" t="s">
        <v>93</v>
      </c>
      <c r="E29" s="15" t="n">
        <f aca="false">VLOOKUP(D29,$P$2:$Q$9,2,TRUE())</f>
        <v>0.0525</v>
      </c>
      <c r="F29" s="2" t="n">
        <v>22.21</v>
      </c>
      <c r="G29" s="2" t="n">
        <f aca="false">+F29/F$54</f>
        <v>1.18075491759702</v>
      </c>
      <c r="H29" s="2" t="n">
        <v>2.03</v>
      </c>
      <c r="I29" s="2" t="n">
        <v>0.781</v>
      </c>
      <c r="J29" s="2" t="n">
        <v>0.635</v>
      </c>
      <c r="K29" s="2" t="n">
        <v>304.88</v>
      </c>
      <c r="N29" s="2" t="n">
        <v>23698</v>
      </c>
    </row>
    <row r="30" customFormat="false" ht="14.65" hidden="false" customHeight="false" outlineLevel="0" collapsed="false">
      <c r="A30" s="5" t="s">
        <v>37</v>
      </c>
      <c r="B30" s="2" t="n">
        <v>30929</v>
      </c>
      <c r="C30" s="2" t="n">
        <f aca="false">+B30/$B$54</f>
        <v>1.13843820999968</v>
      </c>
      <c r="D30" s="15" t="s">
        <v>91</v>
      </c>
      <c r="E30" s="15" t="n">
        <f aca="false">VLOOKUP(D30,$P$2:$Q$9,2,TRUE())</f>
        <v>0.0515</v>
      </c>
      <c r="F30" s="2" t="n">
        <v>20.67</v>
      </c>
      <c r="G30" s="2" t="n">
        <f aca="false">+F30/F$54</f>
        <v>1.09888357256778</v>
      </c>
      <c r="H30" s="2" t="n">
        <v>3.33</v>
      </c>
      <c r="I30" s="2" t="n">
        <v>0.478</v>
      </c>
      <c r="J30" s="2" t="n">
        <v>0.994</v>
      </c>
      <c r="K30" s="2" t="n">
        <v>236.94</v>
      </c>
      <c r="N30" s="2" t="n">
        <v>31617</v>
      </c>
    </row>
    <row r="31" customFormat="false" ht="14.65" hidden="false" customHeight="false" outlineLevel="0" collapsed="false">
      <c r="A31" s="4" t="s">
        <v>38</v>
      </c>
      <c r="B31" s="2" t="n">
        <v>26304</v>
      </c>
      <c r="C31" s="2" t="n">
        <f aca="false">+B31/$B$54</f>
        <v>0.9682006749598</v>
      </c>
      <c r="D31" s="15" t="s">
        <v>91</v>
      </c>
      <c r="E31" s="15" t="n">
        <f aca="false">VLOOKUP(D31,$P$2:$Q$9,2,TRUE())</f>
        <v>0.0515</v>
      </c>
      <c r="F31" s="2" t="n">
        <v>26.4</v>
      </c>
      <c r="G31" s="2" t="n">
        <f aca="false">+F31/F$54</f>
        <v>1.40350877192982</v>
      </c>
      <c r="H31" s="2" t="n">
        <v>3.09</v>
      </c>
      <c r="I31" s="2" t="n">
        <v>0.482</v>
      </c>
      <c r="J31" s="2" t="n">
        <v>1.115</v>
      </c>
      <c r="K31" s="2" t="n">
        <v>209.89</v>
      </c>
      <c r="N31" s="2" t="n">
        <v>27116</v>
      </c>
    </row>
    <row r="32" customFormat="false" ht="14.65" hidden="false" customHeight="false" outlineLevel="0" collapsed="false">
      <c r="A32" s="4" t="s">
        <v>39</v>
      </c>
      <c r="B32" s="2" t="n">
        <v>35532</v>
      </c>
      <c r="C32" s="2" t="n">
        <f aca="false">+B32/$B$54</f>
        <v>1.30786596649451</v>
      </c>
      <c r="D32" s="15" t="s">
        <v>95</v>
      </c>
      <c r="E32" s="15" t="n">
        <f aca="false">VLOOKUP(D32,$P$2:$Q$9,2,TRUE())</f>
        <v>0.0495</v>
      </c>
      <c r="F32" s="2" t="n">
        <v>27.28</v>
      </c>
      <c r="G32" s="2" t="n">
        <f aca="false">+F32/F$54</f>
        <v>1.45029239766082</v>
      </c>
      <c r="H32" s="2" t="n">
        <v>7.11</v>
      </c>
      <c r="I32" s="2" t="n">
        <v>0.75</v>
      </c>
      <c r="J32" s="2" t="n">
        <v>1.175</v>
      </c>
      <c r="K32" s="2" t="n">
        <v>320.62</v>
      </c>
      <c r="N32" s="2" t="n">
        <v>37039</v>
      </c>
    </row>
    <row r="33" customFormat="false" ht="14.65" hidden="false" customHeight="false" outlineLevel="0" collapsed="false">
      <c r="A33" s="4" t="s">
        <v>40</v>
      </c>
      <c r="B33" s="2" t="n">
        <v>25083</v>
      </c>
      <c r="C33" s="2" t="n">
        <f aca="false">+B33/$B$54</f>
        <v>0.923257965709271</v>
      </c>
      <c r="D33" s="15" t="s">
        <v>95</v>
      </c>
      <c r="E33" s="15" t="n">
        <f aca="false">VLOOKUP(D33,$P$2:$Q$9,2,TRUE())</f>
        <v>0.0495</v>
      </c>
      <c r="F33" s="2" t="n">
        <v>22.47</v>
      </c>
      <c r="G33" s="2" t="n">
        <f aca="false">+F33/F$54</f>
        <v>1.19457735247209</v>
      </c>
      <c r="H33" s="2" t="n">
        <v>2.68</v>
      </c>
      <c r="I33" s="2" t="n">
        <v>0.592</v>
      </c>
      <c r="J33" s="2" t="n">
        <v>2.241</v>
      </c>
      <c r="K33" s="2" t="n">
        <v>298.37</v>
      </c>
      <c r="N33" s="2" t="n">
        <v>26013</v>
      </c>
    </row>
    <row r="34" customFormat="false" ht="14.65" hidden="false" customHeight="false" outlineLevel="0" collapsed="false">
      <c r="A34" s="5" t="s">
        <v>41</v>
      </c>
      <c r="B34" s="2" t="n">
        <v>33575</v>
      </c>
      <c r="C34" s="2" t="n">
        <f aca="false">+B34/$B$54</f>
        <v>1.23583248410034</v>
      </c>
      <c r="D34" s="15" t="s">
        <v>92</v>
      </c>
      <c r="E34" s="15" t="n">
        <f aca="false">VLOOKUP(D34,$P$2:$Q$9,2,TRUE())</f>
        <v>0.0555</v>
      </c>
      <c r="F34" s="2" t="n">
        <v>29.27</v>
      </c>
      <c r="G34" s="2" t="n">
        <f aca="false">+F34/F$54</f>
        <v>1.55608718766614</v>
      </c>
      <c r="H34" s="2" t="n">
        <v>4.76</v>
      </c>
      <c r="I34" s="2" t="n">
        <v>0.727</v>
      </c>
      <c r="J34" s="2" t="n">
        <v>0.978</v>
      </c>
      <c r="K34" s="2" t="n">
        <v>426.54</v>
      </c>
      <c r="N34" s="2" t="n">
        <v>34776</v>
      </c>
    </row>
    <row r="35" customFormat="false" ht="14.65" hidden="false" customHeight="false" outlineLevel="0" collapsed="false">
      <c r="A35" s="4" t="s">
        <v>42</v>
      </c>
      <c r="B35" s="2" t="n">
        <v>24581</v>
      </c>
      <c r="C35" s="2" t="n">
        <f aca="false">+B35/$B$54</f>
        <v>0.904780291635753</v>
      </c>
      <c r="D35" s="15" t="s">
        <v>96</v>
      </c>
      <c r="E35" s="15" t="n">
        <f aca="false">VLOOKUP(D35,$P$2:$Q$9,2,TRUE())</f>
        <v>0.0475</v>
      </c>
      <c r="F35" s="2" t="n">
        <v>25.82</v>
      </c>
      <c r="G35" s="2" t="n">
        <f aca="false">+F35/F$54</f>
        <v>1.37267410951622</v>
      </c>
      <c r="H35" s="2" t="n">
        <v>1.92</v>
      </c>
      <c r="I35" s="2" t="n">
        <v>0.448</v>
      </c>
      <c r="J35" s="2" t="n">
        <v>0.826</v>
      </c>
      <c r="K35" s="2" t="n">
        <v>250.09</v>
      </c>
      <c r="N35" s="2" t="n">
        <v>25105</v>
      </c>
    </row>
    <row r="36" customFormat="false" ht="14.65" hidden="false" customHeight="false" outlineLevel="0" collapsed="false">
      <c r="A36" s="4" t="s">
        <v>43</v>
      </c>
      <c r="B36" s="2" t="n">
        <v>21716</v>
      </c>
      <c r="C36" s="2" t="n">
        <f aca="false">+B36/$B$54</f>
        <v>0.799325040200236</v>
      </c>
      <c r="D36" s="15" t="s">
        <v>91</v>
      </c>
      <c r="E36" s="15" t="n">
        <f aca="false">VLOOKUP(D36,$P$2:$Q$9,2,TRUE())</f>
        <v>0.0515</v>
      </c>
      <c r="F36" s="2" t="n">
        <v>53.34</v>
      </c>
      <c r="G36" s="2" t="n">
        <f aca="false">+F36/F$54</f>
        <v>2.83572567783094</v>
      </c>
      <c r="H36" s="2" t="n">
        <v>1.02</v>
      </c>
      <c r="I36" s="2" t="n">
        <v>0.581</v>
      </c>
      <c r="J36" s="2" t="n">
        <v>2.157</v>
      </c>
      <c r="K36" s="2" t="n">
        <v>328.51</v>
      </c>
      <c r="N36" s="2" t="n">
        <v>22248</v>
      </c>
    </row>
    <row r="37" customFormat="false" ht="14.65" hidden="false" customHeight="false" outlineLevel="0" collapsed="false">
      <c r="A37" s="4" t="s">
        <v>44</v>
      </c>
      <c r="B37" s="2" t="n">
        <v>27157</v>
      </c>
      <c r="C37" s="2" t="n">
        <f aca="false">+B37/$B$54</f>
        <v>0.999597997638507</v>
      </c>
      <c r="D37" s="15" t="s">
        <v>91</v>
      </c>
      <c r="E37" s="15" t="n">
        <f aca="false">VLOOKUP(D37,$P$2:$Q$9,2,TRUE())</f>
        <v>0.0515</v>
      </c>
      <c r="F37" s="2" t="n">
        <v>22.5</v>
      </c>
      <c r="G37" s="2" t="n">
        <f aca="false">+F37/F$54</f>
        <v>1.19617224880383</v>
      </c>
      <c r="H37" s="2" t="n">
        <v>3.66</v>
      </c>
      <c r="I37" s="2" t="n">
        <v>0.467</v>
      </c>
      <c r="J37" s="2" t="n">
        <v>0.704</v>
      </c>
      <c r="K37" s="2" t="n">
        <v>269.34</v>
      </c>
      <c r="N37" s="2" t="n">
        <v>27951</v>
      </c>
    </row>
    <row r="38" customFormat="false" ht="14.65" hidden="false" customHeight="false" outlineLevel="0" collapsed="false">
      <c r="A38" s="5" t="s">
        <v>45</v>
      </c>
      <c r="B38" s="2" t="n">
        <v>23145</v>
      </c>
      <c r="C38" s="2" t="n">
        <f aca="false">+B38/$B$54</f>
        <v>0.851923837513099</v>
      </c>
      <c r="D38" s="15" t="s">
        <v>91</v>
      </c>
      <c r="E38" s="15" t="n">
        <f aca="false">VLOOKUP(D38,$P$2:$Q$9,2,TRUE())</f>
        <v>0.0515</v>
      </c>
      <c r="F38" s="2" t="n">
        <v>27.52</v>
      </c>
      <c r="G38" s="2" t="n">
        <f aca="false">+F38/F$54</f>
        <v>1.46305156831473</v>
      </c>
      <c r="H38" s="2" t="n">
        <v>2.16</v>
      </c>
      <c r="I38" s="2" t="n">
        <v>0.467</v>
      </c>
      <c r="J38" s="2" t="n">
        <v>1.126</v>
      </c>
      <c r="K38" s="2" t="n">
        <v>213.21</v>
      </c>
      <c r="N38" s="2" t="n">
        <v>23594</v>
      </c>
    </row>
    <row r="39" customFormat="false" ht="14.65" hidden="false" customHeight="false" outlineLevel="0" collapsed="false">
      <c r="A39" s="4" t="s">
        <v>46</v>
      </c>
      <c r="B39" s="2" t="n">
        <v>27778</v>
      </c>
      <c r="C39" s="2" t="n">
        <f aca="false">+B39/$B$54</f>
        <v>1.02245583747846</v>
      </c>
      <c r="D39" s="15" t="s">
        <v>91</v>
      </c>
      <c r="E39" s="15" t="n">
        <f aca="false">VLOOKUP(D39,$P$2:$Q$9,2,TRUE())</f>
        <v>0.0515</v>
      </c>
      <c r="F39" s="2" t="n">
        <v>27.54</v>
      </c>
      <c r="G39" s="2" t="n">
        <f aca="false">+F39/F$54</f>
        <v>1.46411483253589</v>
      </c>
      <c r="H39" s="2" t="n">
        <v>7.14</v>
      </c>
      <c r="I39" s="2" t="n">
        <v>0.456</v>
      </c>
      <c r="J39" s="2" t="n">
        <v>0.665</v>
      </c>
      <c r="K39" s="2" t="n">
        <v>252.68</v>
      </c>
      <c r="N39" s="2" t="n">
        <v>28609</v>
      </c>
    </row>
    <row r="40" customFormat="false" ht="14.65" hidden="false" customHeight="false" outlineLevel="0" collapsed="false">
      <c r="A40" s="4" t="s">
        <v>47</v>
      </c>
      <c r="B40" s="2" t="n">
        <v>29870</v>
      </c>
      <c r="C40" s="2" t="n">
        <f aca="false">+B40/$B$54</f>
        <v>1.09945841549001</v>
      </c>
      <c r="D40" s="15" t="s">
        <v>94</v>
      </c>
      <c r="E40" s="15" t="n">
        <f aca="false">VLOOKUP(D40,$P$2:$Q$9,2,TRUE())</f>
        <v>0.0535</v>
      </c>
      <c r="F40" s="2" t="n">
        <v>30.46</v>
      </c>
      <c r="G40" s="2" t="n">
        <f aca="false">+F40/F$54</f>
        <v>1.61935140882509</v>
      </c>
      <c r="H40" s="2" t="n">
        <v>3.7</v>
      </c>
      <c r="I40" s="2" t="n">
        <v>0.634</v>
      </c>
      <c r="J40" s="2" t="n">
        <v>0.998</v>
      </c>
      <c r="K40" s="2" t="n">
        <v>317.11</v>
      </c>
      <c r="N40" s="2" t="n">
        <v>30653</v>
      </c>
    </row>
    <row r="41" customFormat="false" ht="14.65" hidden="false" customHeight="false" outlineLevel="0" collapsed="false">
      <c r="A41" s="4" t="s">
        <v>48</v>
      </c>
      <c r="B41" s="2" t="n">
        <v>31024</v>
      </c>
      <c r="C41" s="2" t="n">
        <f aca="false">+B41/$B$54</f>
        <v>1.14193498098969</v>
      </c>
      <c r="D41" s="15" t="s">
        <v>94</v>
      </c>
      <c r="E41" s="15" t="n">
        <f aca="false">VLOOKUP(D41,$P$2:$Q$9,2,TRUE())</f>
        <v>0.0535</v>
      </c>
      <c r="F41" s="2" t="n">
        <v>31.17</v>
      </c>
      <c r="G41" s="2" t="n">
        <f aca="false">+F41/F$54</f>
        <v>1.65709728867624</v>
      </c>
      <c r="H41" s="2" t="n">
        <v>3.35</v>
      </c>
      <c r="I41" s="2" t="n">
        <v>0.483</v>
      </c>
      <c r="J41" s="2" t="n">
        <v>0.885</v>
      </c>
      <c r="K41" s="2" t="n">
        <v>247.97</v>
      </c>
      <c r="N41" s="2" t="n">
        <v>31778</v>
      </c>
    </row>
    <row r="42" customFormat="false" ht="14.65" hidden="false" customHeight="false" outlineLevel="0" collapsed="false">
      <c r="A42" s="5" t="s">
        <v>49</v>
      </c>
      <c r="B42" s="2" t="n">
        <v>24142</v>
      </c>
      <c r="C42" s="2" t="n">
        <f aca="false">+B42/$B$54</f>
        <v>0.888621528850345</v>
      </c>
      <c r="D42" s="15" t="s">
        <v>96</v>
      </c>
      <c r="E42" s="15" t="n">
        <f aca="false">VLOOKUP(D42,$P$2:$Q$9,2,TRUE())</f>
        <v>0.0475</v>
      </c>
      <c r="F42" s="2" t="n">
        <v>24.89</v>
      </c>
      <c r="G42" s="2" t="n">
        <f aca="false">+F42/F$54</f>
        <v>1.32323232323232</v>
      </c>
      <c r="H42" s="2" t="n">
        <v>2.66</v>
      </c>
      <c r="I42" s="2" t="n">
        <v>0.443</v>
      </c>
      <c r="J42" s="2" t="n">
        <v>0.851</v>
      </c>
      <c r="K42" s="2" t="n">
        <v>218.8</v>
      </c>
      <c r="N42" s="2" t="n">
        <v>24336</v>
      </c>
    </row>
    <row r="43" customFormat="false" ht="14.65" hidden="false" customHeight="false" outlineLevel="0" collapsed="false">
      <c r="A43" s="4" t="s">
        <v>50</v>
      </c>
      <c r="B43" s="2" t="n">
        <v>21562</v>
      </c>
      <c r="C43" s="2" t="n">
        <f aca="false">+B43/$B$54</f>
        <v>0.793656590384854</v>
      </c>
      <c r="D43" s="15" t="s">
        <v>93</v>
      </c>
      <c r="E43" s="15" t="n">
        <f aca="false">VLOOKUP(D43,$P$2:$Q$9,2,TRUE())</f>
        <v>0.0525</v>
      </c>
      <c r="F43" s="2" t="n">
        <v>12.8</v>
      </c>
      <c r="G43" s="2" t="n">
        <f aca="false">+F43/F$54</f>
        <v>0.680489101541733</v>
      </c>
      <c r="H43" s="2" t="n">
        <v>1.22</v>
      </c>
      <c r="I43" s="2" t="n">
        <v>0.47</v>
      </c>
      <c r="J43" s="2" t="n">
        <v>0.47</v>
      </c>
      <c r="K43" s="2" t="n">
        <v>204.59</v>
      </c>
      <c r="N43" s="2" t="n">
        <v>22336</v>
      </c>
    </row>
    <row r="44" customFormat="false" ht="14.65" hidden="false" customHeight="false" outlineLevel="0" collapsed="false">
      <c r="A44" s="4" t="s">
        <v>51</v>
      </c>
      <c r="B44" s="2" t="n">
        <v>24812</v>
      </c>
      <c r="C44" s="2" t="n">
        <f aca="false">+B44/$B$54</f>
        <v>0.913282966358826</v>
      </c>
      <c r="D44" s="15" t="s">
        <v>96</v>
      </c>
      <c r="E44" s="15" t="n">
        <f aca="false">VLOOKUP(D44,$P$2:$Q$9,2,TRUE())</f>
        <v>0.0475</v>
      </c>
      <c r="F44" s="2" t="n">
        <v>22.78</v>
      </c>
      <c r="G44" s="2" t="n">
        <f aca="false">+F44/F$54</f>
        <v>1.21105794790005</v>
      </c>
      <c r="H44" s="2" t="n">
        <v>1.93</v>
      </c>
      <c r="I44" s="2" t="n">
        <v>0.443</v>
      </c>
      <c r="J44" s="2" t="n">
        <v>0.834</v>
      </c>
      <c r="K44" s="2" t="n">
        <v>220.25</v>
      </c>
      <c r="N44" s="2" t="n">
        <v>25975</v>
      </c>
    </row>
    <row r="45" customFormat="false" ht="14.65" hidden="false" customHeight="false" outlineLevel="0" collapsed="false">
      <c r="A45" s="4" t="s">
        <v>52</v>
      </c>
      <c r="B45" s="2" t="n">
        <v>24957</v>
      </c>
      <c r="C45" s="2" t="n">
        <f aca="false">+B45/$B$54</f>
        <v>0.918620143133049</v>
      </c>
      <c r="D45" s="15" t="s">
        <v>91</v>
      </c>
      <c r="E45" s="15" t="n">
        <f aca="false">VLOOKUP(D45,$P$2:$Q$9,2,TRUE())</f>
        <v>0.0515</v>
      </c>
      <c r="F45" s="2" t="n">
        <v>31.76</v>
      </c>
      <c r="G45" s="2" t="n">
        <f aca="false">+F45/F$54</f>
        <v>1.68846358320043</v>
      </c>
      <c r="H45" s="2" t="n">
        <v>2.66</v>
      </c>
      <c r="I45" s="2" t="n">
        <v>0.322</v>
      </c>
      <c r="J45" s="2" t="n">
        <v>0.748</v>
      </c>
      <c r="K45" s="2" t="n">
        <v>221.41</v>
      </c>
      <c r="N45" s="2" t="n">
        <v>25297</v>
      </c>
    </row>
    <row r="46" customFormat="false" ht="14.65" hidden="false" customHeight="false" outlineLevel="0" collapsed="false">
      <c r="A46" s="5" t="s">
        <v>53</v>
      </c>
      <c r="B46" s="2" t="n">
        <v>24221</v>
      </c>
      <c r="C46" s="2" t="n">
        <f aca="false">+B46/$B$54</f>
        <v>0.891529369989405</v>
      </c>
      <c r="D46" s="15" t="s">
        <v>96</v>
      </c>
      <c r="E46" s="15" t="n">
        <f aca="false">VLOOKUP(D46,$P$2:$Q$9,2,TRUE())</f>
        <v>0.0475</v>
      </c>
      <c r="F46" s="2" t="n">
        <v>24.44</v>
      </c>
      <c r="G46" s="2" t="n">
        <f aca="false">+F46/F$54</f>
        <v>1.29930887825625</v>
      </c>
      <c r="H46" s="2" t="n">
        <v>2.63</v>
      </c>
      <c r="I46" s="2" t="n">
        <v>0.466</v>
      </c>
      <c r="J46" s="2" t="n">
        <v>1.481</v>
      </c>
      <c r="K46" s="2" t="n">
        <v>208.36</v>
      </c>
      <c r="N46" s="2" t="n">
        <v>25060</v>
      </c>
    </row>
    <row r="47" customFormat="false" ht="14.65" hidden="false" customHeight="false" outlineLevel="0" collapsed="false">
      <c r="A47" s="4" t="s">
        <v>54</v>
      </c>
      <c r="B47" s="2" t="n">
        <v>24989</v>
      </c>
      <c r="C47" s="2" t="n">
        <f aca="false">+B47/$B$54</f>
        <v>0.919798002834947</v>
      </c>
      <c r="D47" s="15" t="s">
        <v>91</v>
      </c>
      <c r="E47" s="15" t="n">
        <f aca="false">VLOOKUP(D47,$P$2:$Q$9,2,TRUE())</f>
        <v>0.0515</v>
      </c>
      <c r="F47" s="2" t="n">
        <v>32.83</v>
      </c>
      <c r="G47" s="2" t="n">
        <f aca="false">+F47/F$54</f>
        <v>1.74534821903243</v>
      </c>
      <c r="H47" s="2" t="n">
        <v>2.13</v>
      </c>
      <c r="I47" s="2" t="n">
        <v>0.491</v>
      </c>
      <c r="J47" s="2" t="n">
        <v>0.82</v>
      </c>
      <c r="K47" s="2" t="n">
        <v>263.2</v>
      </c>
      <c r="N47" s="2" t="n">
        <v>25253</v>
      </c>
    </row>
    <row r="48" customFormat="false" ht="14.65" hidden="false" customHeight="false" outlineLevel="0" collapsed="false">
      <c r="A48" s="4" t="s">
        <v>55</v>
      </c>
      <c r="B48" s="2" t="n">
        <v>29028</v>
      </c>
      <c r="C48" s="2" t="n">
        <f aca="false">+B48/$B$54</f>
        <v>1.06846598208383</v>
      </c>
      <c r="D48" s="15" t="s">
        <v>96</v>
      </c>
      <c r="E48" s="15" t="n">
        <f aca="false">VLOOKUP(D48,$P$2:$Q$9,2,TRUE())</f>
        <v>0.0475</v>
      </c>
      <c r="F48" s="2" t="n">
        <v>25.33</v>
      </c>
      <c r="G48" s="2" t="n">
        <f aca="false">+F48/F$54</f>
        <v>1.34662413609782</v>
      </c>
      <c r="H48" s="2" t="n">
        <v>2.72</v>
      </c>
      <c r="I48" s="2" t="n">
        <v>0.495</v>
      </c>
      <c r="J48" s="2" t="n">
        <v>0.795</v>
      </c>
      <c r="K48" s="2" t="n">
        <v>269.71</v>
      </c>
      <c r="N48" s="2" t="n">
        <v>29528</v>
      </c>
    </row>
    <row r="49" customFormat="false" ht="14.65" hidden="false" customHeight="false" outlineLevel="0" collapsed="false">
      <c r="A49" s="4" t="s">
        <v>56</v>
      </c>
      <c r="B49" s="2" t="n">
        <v>29721</v>
      </c>
      <c r="C49" s="2" t="n">
        <f aca="false">+B49/$B$54</f>
        <v>1.09397400625305</v>
      </c>
      <c r="D49" s="15" t="s">
        <v>91</v>
      </c>
      <c r="E49" s="15" t="n">
        <f aca="false">VLOOKUP(D49,$P$2:$Q$9,2,TRUE())</f>
        <v>0.0515</v>
      </c>
      <c r="F49" s="2" t="n">
        <v>28.29</v>
      </c>
      <c r="G49" s="2" t="n">
        <f aca="false">+F49/F$54</f>
        <v>1.50398724082935</v>
      </c>
      <c r="H49" s="2" t="n">
        <v>2.37</v>
      </c>
      <c r="I49" s="2" t="n">
        <v>0.524</v>
      </c>
      <c r="J49" s="2" t="n">
        <v>0.976</v>
      </c>
      <c r="K49" s="2" t="n">
        <v>306.82</v>
      </c>
      <c r="N49" s="2" t="n">
        <v>30132</v>
      </c>
    </row>
    <row r="50" customFormat="false" ht="14.65" hidden="false" customHeight="false" outlineLevel="0" collapsed="false">
      <c r="A50" s="5" t="s">
        <v>57</v>
      </c>
      <c r="B50" s="2" t="n">
        <v>23614</v>
      </c>
      <c r="C50" s="2" t="n">
        <f aca="false">+B50/$B$54</f>
        <v>0.869186843769036</v>
      </c>
      <c r="D50" s="15" t="s">
        <v>94</v>
      </c>
      <c r="E50" s="15" t="n">
        <f aca="false">VLOOKUP(D50,$P$2:$Q$9,2,TRUE())</f>
        <v>0.0535</v>
      </c>
      <c r="F50" s="2" t="n">
        <v>26.51</v>
      </c>
      <c r="G50" s="2" t="n">
        <f aca="false">+F50/F$54</f>
        <v>1.4093567251462</v>
      </c>
      <c r="H50" s="2" t="n">
        <v>3.04</v>
      </c>
      <c r="I50" s="2" t="n">
        <v>0.535</v>
      </c>
      <c r="J50" s="2" t="n">
        <v>0.961</v>
      </c>
      <c r="K50" s="2" t="n">
        <v>305.65</v>
      </c>
      <c r="N50" s="2" t="n">
        <v>23939</v>
      </c>
    </row>
    <row r="51" customFormat="false" ht="14.65" hidden="false" customHeight="false" outlineLevel="0" collapsed="false">
      <c r="A51" s="4" t="s">
        <v>58</v>
      </c>
      <c r="B51" s="2" t="n">
        <v>27228</v>
      </c>
      <c r="C51" s="2" t="n">
        <f aca="false">+B51/$B$54</f>
        <v>1.00221137385209</v>
      </c>
      <c r="D51" s="15" t="s">
        <v>91</v>
      </c>
      <c r="E51" s="15" t="n">
        <f aca="false">VLOOKUP(D51,$P$2:$Q$9,2,TRUE())</f>
        <v>0.0515</v>
      </c>
      <c r="F51" s="2" t="n">
        <v>2.08</v>
      </c>
      <c r="G51" s="2" t="n">
        <f aca="false">+F51/F$54</f>
        <v>0.110579479000532</v>
      </c>
      <c r="H51" s="2" t="n">
        <v>1.65</v>
      </c>
      <c r="I51" s="2" t="n">
        <v>0.44</v>
      </c>
      <c r="J51" s="2" t="n">
        <v>1.083</v>
      </c>
      <c r="K51" s="2" t="n">
        <v>171.78</v>
      </c>
      <c r="N51" s="2" t="n">
        <v>27826</v>
      </c>
    </row>
    <row r="52" customFormat="false" ht="14.65" hidden="false" customHeight="false" outlineLevel="0" collapsed="false">
      <c r="A52" s="4" t="s">
        <v>59</v>
      </c>
      <c r="B52" s="2" t="n">
        <v>23275</v>
      </c>
      <c r="C52" s="2" t="n">
        <f aca="false">+B52/$B$54</f>
        <v>0.856708892552058</v>
      </c>
      <c r="D52" s="15" t="s">
        <v>93</v>
      </c>
      <c r="E52" s="15" t="n">
        <f aca="false">VLOOKUP(D52,$P$2:$Q$9,2,TRUE())</f>
        <v>0.0525</v>
      </c>
      <c r="F52" s="2" t="n">
        <v>18.08</v>
      </c>
      <c r="G52" s="2" t="n">
        <f aca="false">+F52/F$54</f>
        <v>0.961190855927698</v>
      </c>
      <c r="H52" s="2" t="n">
        <v>1.26</v>
      </c>
      <c r="I52" s="2" t="n">
        <v>0.555</v>
      </c>
      <c r="J52" s="2" t="n">
        <v>0.555</v>
      </c>
      <c r="K52" s="2" t="n">
        <v>268</v>
      </c>
      <c r="N52" s="2" t="n">
        <v>23522</v>
      </c>
    </row>
    <row r="53" customFormat="false" ht="14.65" hidden="false" customHeight="false" outlineLevel="0" collapsed="false">
      <c r="A53" s="5"/>
      <c r="B53" s="2"/>
      <c r="C53" s="2" t="n">
        <f aca="false">+B53/$B$54</f>
        <v>0</v>
      </c>
      <c r="D53" s="15"/>
      <c r="E53" s="15" t="e">
        <f aca="false">VLOOKUP(D53,$P$2:$Q$9,2,TRUE())</f>
        <v>#N/A</v>
      </c>
      <c r="F53" s="2"/>
      <c r="G53" s="2" t="n">
        <f aca="false">+F53/F$54</f>
        <v>0</v>
      </c>
      <c r="H53" s="2"/>
      <c r="I53" s="2"/>
      <c r="J53" s="2"/>
      <c r="K53" s="2"/>
      <c r="N53" s="2"/>
    </row>
    <row r="54" customFormat="false" ht="14.65" hidden="false" customHeight="false" outlineLevel="0" collapsed="false">
      <c r="A54" s="6" t="s">
        <v>81</v>
      </c>
      <c r="B54" s="16" t="n">
        <f aca="false">AVERAGE(B2:B52)</f>
        <v>27167.9215686275</v>
      </c>
      <c r="C54" s="2" t="n">
        <f aca="false">+B54/$B$54</f>
        <v>1</v>
      </c>
      <c r="D54" s="15" t="s">
        <v>100</v>
      </c>
      <c r="E54" s="15" t="n">
        <f aca="false">VLOOKUP(D54,$P$2:$Q$9,2,TRUE())</f>
        <v>0.0595</v>
      </c>
      <c r="F54" s="2" t="n">
        <v>18.81</v>
      </c>
      <c r="G54" s="2" t="n">
        <f aca="false">+F54/F$54</f>
        <v>1</v>
      </c>
      <c r="H54" s="2" t="n">
        <v>2.5</v>
      </c>
      <c r="I54" s="2" t="n">
        <v>0.467</v>
      </c>
      <c r="J54" s="2" t="n">
        <v>0.861</v>
      </c>
      <c r="K54" s="2" t="n">
        <v>261.89</v>
      </c>
      <c r="N54" s="2"/>
    </row>
    <row r="56" customFormat="false" ht="14.65" hidden="false" customHeight="false" outlineLevel="0" collapsed="false">
      <c r="A56" s="3" t="s">
        <v>62</v>
      </c>
    </row>
    <row r="57" customFormat="false" ht="14.65" hidden="false" customHeight="false" outlineLevel="0" collapsed="false">
      <c r="A57" s="3" t="s">
        <v>63</v>
      </c>
    </row>
    <row r="58" customFormat="false" ht="14.65" hidden="false" customHeight="false" outlineLevel="0" collapsed="false">
      <c r="A58" s="3" t="s">
        <v>64</v>
      </c>
    </row>
    <row r="59" customFormat="false" ht="14.65" hidden="false" customHeight="false" outlineLevel="0" collapsed="false">
      <c r="A59" s="3" t="s">
        <v>65</v>
      </c>
    </row>
    <row r="62" customFormat="false" ht="14.65" hidden="false" customHeight="false" outlineLevel="0" collapsed="false">
      <c r="A62" s="3" t="s">
        <v>66</v>
      </c>
    </row>
    <row r="63" customFormat="false" ht="14.65" hidden="false" customHeight="false" outlineLevel="0" collapsed="false">
      <c r="A63" s="3" t="s">
        <v>67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Q65 A1:Q65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2" min="2" style="3" width="8.42"/>
    <col collapsed="false" customWidth="true" hidden="false" outlineLevel="0" max="3" min="3" style="3" width="7.99"/>
    <col collapsed="false" customWidth="true" hidden="false" outlineLevel="0" max="4" min="4" style="3" width="7.42"/>
    <col collapsed="false" customWidth="true" hidden="false" outlineLevel="0" max="5" min="5" style="3" width="6.99"/>
    <col collapsed="false" customWidth="true" hidden="false" outlineLevel="0" max="6" min="6" style="3" width="5.85"/>
    <col collapsed="false" customWidth="true" hidden="false" outlineLevel="0" max="7" min="7" style="3" width="6.71"/>
    <col collapsed="false" customWidth="true" hidden="false" outlineLevel="0" max="8" min="8" style="3" width="8.42"/>
  </cols>
  <sheetData>
    <row r="1" customFormat="false" ht="14.65" hidden="false" customHeight="false" outlineLevel="0" collapsed="false">
      <c r="A1" s="1"/>
      <c r="B1" s="2" t="s">
        <v>101</v>
      </c>
      <c r="C1" s="2" t="s">
        <v>90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0</v>
      </c>
      <c r="J1" s="2" t="s">
        <v>1</v>
      </c>
      <c r="K1" s="2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7" t="s">
        <v>107</v>
      </c>
    </row>
    <row r="2" customFormat="false" ht="14.65" hidden="false" customHeight="false" outlineLevel="0" collapsed="false">
      <c r="A2" s="4" t="s">
        <v>8</v>
      </c>
      <c r="B2" s="2" t="n">
        <v>25028</v>
      </c>
      <c r="C2" s="2" t="n">
        <v>26376</v>
      </c>
      <c r="D2" s="2" t="n">
        <v>25.49</v>
      </c>
      <c r="E2" s="2" t="n">
        <v>1.6</v>
      </c>
      <c r="F2" s="2" t="n">
        <v>0.419</v>
      </c>
      <c r="G2" s="2" t="n">
        <v>0.862</v>
      </c>
      <c r="H2" s="2" t="n">
        <v>217.9</v>
      </c>
      <c r="I2" s="2" t="n">
        <v>4089</v>
      </c>
      <c r="J2" s="2" t="n">
        <v>52423</v>
      </c>
      <c r="K2" s="2" t="n">
        <v>78.0001144535795</v>
      </c>
      <c r="L2" s="3" t="n">
        <v>470232</v>
      </c>
      <c r="M2" s="3" t="n">
        <v>92209</v>
      </c>
      <c r="N2" s="3" t="n">
        <v>92201</v>
      </c>
      <c r="O2" s="3" t="n">
        <v>8</v>
      </c>
      <c r="P2" s="3" t="n">
        <v>58779</v>
      </c>
      <c r="Q2" s="3" t="s">
        <v>91</v>
      </c>
    </row>
    <row r="3" customFormat="false" ht="14.65" hidden="false" customHeight="false" outlineLevel="0" collapsed="false">
      <c r="A3" s="4" t="s">
        <v>9</v>
      </c>
      <c r="B3" s="2" t="n">
        <v>37943</v>
      </c>
      <c r="C3" s="2" t="n">
        <v>38889</v>
      </c>
      <c r="D3" s="2" t="n">
        <v>31.89</v>
      </c>
      <c r="E3" s="2" t="n">
        <v>1.89</v>
      </c>
      <c r="F3" s="2" t="n">
        <v>0.464</v>
      </c>
      <c r="G3" s="2" t="n">
        <v>1.161</v>
      </c>
      <c r="H3" s="2" t="n">
        <v>855.03</v>
      </c>
      <c r="I3" s="2" t="n">
        <v>570</v>
      </c>
      <c r="J3" s="2" t="n">
        <v>591004</v>
      </c>
      <c r="K3" s="2" t="n">
        <v>0.964460477424857</v>
      </c>
      <c r="L3" s="3" t="n">
        <v>242000</v>
      </c>
      <c r="M3" s="3" t="n">
        <v>13849</v>
      </c>
      <c r="N3" s="3" t="n">
        <v>13634</v>
      </c>
      <c r="O3" s="3" t="n">
        <v>215</v>
      </c>
      <c r="P3" s="3" t="n">
        <v>1125.58139534884</v>
      </c>
      <c r="Q3" s="3" t="s">
        <v>91</v>
      </c>
    </row>
    <row r="4" customFormat="false" ht="14.65" hidden="false" customHeight="false" outlineLevel="0" collapsed="false">
      <c r="A4" s="4" t="s">
        <v>10</v>
      </c>
      <c r="B4" s="2" t="n">
        <v>24995</v>
      </c>
      <c r="C4" s="2" t="n">
        <v>25906</v>
      </c>
      <c r="D4" s="2" t="n">
        <v>22.42</v>
      </c>
      <c r="E4" s="2" t="n">
        <v>5.21</v>
      </c>
      <c r="F4" s="2" t="n">
        <v>0.354</v>
      </c>
      <c r="G4" s="2" t="n">
        <v>1.62</v>
      </c>
      <c r="H4" s="2" t="n">
        <v>206.73</v>
      </c>
      <c r="I4" s="2" t="n">
        <v>3750</v>
      </c>
      <c r="J4" s="2" t="n">
        <v>114006</v>
      </c>
      <c r="K4" s="2" t="n">
        <v>32.8930056312826</v>
      </c>
      <c r="L4" s="3" t="n">
        <v>480799</v>
      </c>
      <c r="M4" s="3" t="n">
        <v>55763</v>
      </c>
      <c r="N4" s="3" t="n">
        <v>55969</v>
      </c>
      <c r="O4" s="3" t="n">
        <v>-206</v>
      </c>
      <c r="P4" s="3" t="n">
        <v>-2333.97572815534</v>
      </c>
      <c r="Q4" s="3" t="s">
        <v>93</v>
      </c>
    </row>
    <row r="5" customFormat="false" ht="14.65" hidden="false" customHeight="false" outlineLevel="0" collapsed="false">
      <c r="A5" s="4" t="s">
        <v>11</v>
      </c>
      <c r="B5" s="2" t="n">
        <v>22793</v>
      </c>
      <c r="C5" s="2" t="n">
        <v>23336</v>
      </c>
      <c r="D5" s="2" t="n">
        <v>26.28</v>
      </c>
      <c r="E5" s="2" t="n">
        <v>1.31</v>
      </c>
      <c r="F5" s="2" t="n">
        <v>0.544</v>
      </c>
      <c r="G5" s="2" t="n">
        <v>0.674</v>
      </c>
      <c r="H5" s="2" t="n">
        <v>259.97</v>
      </c>
      <c r="I5" s="2" t="n">
        <v>2372</v>
      </c>
      <c r="J5" s="2" t="n">
        <v>53182</v>
      </c>
      <c r="K5" s="2" t="n">
        <v>44.6015569177541</v>
      </c>
      <c r="L5" s="3" t="n">
        <v>362332</v>
      </c>
      <c r="M5" s="3" t="n">
        <v>77192</v>
      </c>
      <c r="N5" s="3" t="n">
        <v>77162</v>
      </c>
      <c r="O5" s="3" t="n">
        <v>30</v>
      </c>
      <c r="P5" s="3" t="n">
        <v>12077.7333333333</v>
      </c>
      <c r="Q5" s="3" t="s">
        <v>91</v>
      </c>
    </row>
    <row r="6" customFormat="false" ht="14.65" hidden="false" customHeight="false" outlineLevel="0" collapsed="false">
      <c r="A6" s="5" t="s">
        <v>12</v>
      </c>
      <c r="B6" s="2" t="n">
        <v>33080</v>
      </c>
      <c r="C6" s="2" t="n">
        <v>33795</v>
      </c>
      <c r="D6" s="2" t="n">
        <v>28.79</v>
      </c>
      <c r="E6" s="2" t="n">
        <v>3.15</v>
      </c>
      <c r="F6" s="2" t="n">
        <v>0.414</v>
      </c>
      <c r="G6" s="2" t="n">
        <v>1.07</v>
      </c>
      <c r="H6" s="2" t="n">
        <v>256.86</v>
      </c>
      <c r="I6" s="2" t="n">
        <v>30380</v>
      </c>
      <c r="J6" s="2" t="n">
        <v>163707</v>
      </c>
      <c r="K6" s="2" t="n">
        <v>185.575448820148</v>
      </c>
      <c r="L6" s="3" t="n">
        <v>2135323</v>
      </c>
      <c r="M6" s="3" t="n">
        <v>169201</v>
      </c>
      <c r="N6" s="3" t="n">
        <v>168378</v>
      </c>
      <c r="O6" s="3" t="n">
        <v>823</v>
      </c>
      <c r="P6" s="3" t="n">
        <v>2594.56014580802</v>
      </c>
      <c r="Q6" s="3" t="s">
        <v>94</v>
      </c>
    </row>
    <row r="7" customFormat="false" ht="14.65" hidden="false" customHeight="false" outlineLevel="0" collapsed="false">
      <c r="A7" s="4" t="s">
        <v>13</v>
      </c>
      <c r="B7" s="2" t="n">
        <v>27380</v>
      </c>
      <c r="C7" s="2" t="n">
        <v>28148</v>
      </c>
      <c r="D7" s="2" t="n">
        <v>28.35</v>
      </c>
      <c r="E7" s="2" t="n">
        <v>2.48</v>
      </c>
      <c r="F7" s="2" t="n">
        <v>0.362</v>
      </c>
      <c r="G7" s="2" t="n">
        <v>0.79</v>
      </c>
      <c r="H7" s="2" t="n">
        <v>201.17</v>
      </c>
      <c r="I7" s="2" t="n">
        <v>3377</v>
      </c>
      <c r="J7" s="2" t="n">
        <v>104091</v>
      </c>
      <c r="K7" s="2" t="n">
        <v>32.4427664255315</v>
      </c>
      <c r="L7" s="3" t="n">
        <v>341276</v>
      </c>
      <c r="M7" s="3" t="n">
        <v>78721</v>
      </c>
      <c r="N7" s="3" t="n">
        <v>78043</v>
      </c>
      <c r="O7" s="3" t="n">
        <v>678</v>
      </c>
      <c r="P7" s="3" t="n">
        <v>503.356932153392</v>
      </c>
      <c r="Q7" s="3" t="s">
        <v>93</v>
      </c>
    </row>
    <row r="8" customFormat="false" ht="14.65" hidden="false" customHeight="false" outlineLevel="0" collapsed="false">
      <c r="A8" s="4" t="s">
        <v>14</v>
      </c>
      <c r="B8" s="2" t="n">
        <v>35320</v>
      </c>
      <c r="C8" s="2" t="n">
        <v>36143</v>
      </c>
      <c r="D8" s="2" t="n">
        <v>32.4</v>
      </c>
      <c r="E8" s="2" t="n">
        <v>5.33</v>
      </c>
      <c r="F8" s="2" t="n">
        <v>0.631</v>
      </c>
      <c r="G8" s="2" t="n">
        <v>0.887</v>
      </c>
      <c r="H8" s="2" t="n">
        <v>336.99</v>
      </c>
      <c r="I8" s="2" t="n">
        <v>3291</v>
      </c>
      <c r="J8" s="2" t="n">
        <v>5544</v>
      </c>
      <c r="K8" s="2" t="n">
        <v>593.614718614719</v>
      </c>
      <c r="L8" s="3" t="n">
        <v>588122</v>
      </c>
      <c r="M8" s="3" t="n">
        <v>20357</v>
      </c>
      <c r="N8" s="3" t="n">
        <v>20280</v>
      </c>
      <c r="O8" s="3" t="n">
        <v>77</v>
      </c>
      <c r="P8" s="3" t="n">
        <v>7637.94805194805</v>
      </c>
      <c r="Q8" s="3" t="s">
        <v>91</v>
      </c>
    </row>
    <row r="9" customFormat="false" ht="14.65" hidden="false" customHeight="false" outlineLevel="0" collapsed="false">
      <c r="A9" s="4" t="s">
        <v>15</v>
      </c>
      <c r="B9" s="2" t="n">
        <v>28593</v>
      </c>
      <c r="C9" s="2" t="n">
        <v>29298</v>
      </c>
      <c r="D9" s="2" t="n">
        <v>26.85</v>
      </c>
      <c r="E9" s="2" t="n">
        <v>3.4</v>
      </c>
      <c r="F9" s="2" t="n">
        <v>0.632</v>
      </c>
      <c r="G9" s="2" t="n">
        <v>0.632</v>
      </c>
      <c r="H9" s="2" t="n">
        <v>261.13</v>
      </c>
      <c r="I9" s="2" t="n">
        <v>680</v>
      </c>
      <c r="J9" s="2" t="n">
        <v>2489</v>
      </c>
      <c r="K9" s="2" t="n">
        <v>273.202089192447</v>
      </c>
      <c r="L9" s="3" t="n">
        <v>205535</v>
      </c>
      <c r="M9" s="3" t="n">
        <v>5544</v>
      </c>
      <c r="N9" s="3" t="n">
        <v>5524</v>
      </c>
      <c r="O9" s="3" t="n">
        <v>20</v>
      </c>
      <c r="P9" s="3" t="n">
        <v>10276.75</v>
      </c>
      <c r="Q9" s="3" t="s">
        <v>95</v>
      </c>
    </row>
    <row r="10" customFormat="false" ht="14.65" hidden="false" customHeight="false" outlineLevel="0" collapsed="false">
      <c r="A10" s="5" t="s">
        <v>16</v>
      </c>
      <c r="B10" s="2" t="n">
        <v>43855</v>
      </c>
      <c r="C10" s="2" t="n">
        <v>46872</v>
      </c>
      <c r="D10" s="2" t="n">
        <v>54.49</v>
      </c>
      <c r="E10" s="2" t="n">
        <v>10.13</v>
      </c>
      <c r="F10" s="2" t="n">
        <v>0.488</v>
      </c>
      <c r="G10" s="2" t="n">
        <v>0.898</v>
      </c>
      <c r="H10" s="2" t="n">
        <v>616</v>
      </c>
      <c r="I10" s="2" t="n">
        <v>598</v>
      </c>
      <c r="J10" s="2" t="n">
        <v>67</v>
      </c>
      <c r="K10" s="2" t="n">
        <v>8925.37313432836</v>
      </c>
      <c r="L10" s="3" t="n">
        <v>108194</v>
      </c>
      <c r="M10" s="3" t="n">
        <v>1107</v>
      </c>
      <c r="N10" s="3" t="n">
        <v>1104</v>
      </c>
      <c r="O10" s="3" t="n">
        <v>3</v>
      </c>
      <c r="P10" s="3" t="n">
        <v>36064.6666666667</v>
      </c>
      <c r="Q10" s="3" t="s">
        <v>93</v>
      </c>
    </row>
    <row r="11" customFormat="false" ht="14.65" hidden="false" customHeight="false" outlineLevel="0" collapsed="false">
      <c r="A11" s="4" t="s">
        <v>17</v>
      </c>
      <c r="B11" s="2" t="n">
        <v>27116</v>
      </c>
      <c r="C11" s="2" t="n">
        <v>27315</v>
      </c>
      <c r="D11" s="2" t="n">
        <v>19.02</v>
      </c>
      <c r="E11" s="2" t="n">
        <v>2.51</v>
      </c>
      <c r="F11" s="2" t="n">
        <v>0.377</v>
      </c>
      <c r="G11" s="2" t="n">
        <v>0.66</v>
      </c>
      <c r="H11" s="2" t="n">
        <v>320.1</v>
      </c>
      <c r="I11" s="2" t="n">
        <v>13277</v>
      </c>
      <c r="J11" s="2" t="n">
        <v>65758</v>
      </c>
      <c r="K11" s="2" t="n">
        <v>201.906992305119</v>
      </c>
      <c r="L11" s="3" t="n">
        <v>1684969</v>
      </c>
      <c r="M11" s="3" t="n">
        <v>112808</v>
      </c>
      <c r="N11" s="3" t="n">
        <v>110640</v>
      </c>
      <c r="O11" s="3" t="n">
        <v>2168</v>
      </c>
      <c r="P11" s="3" t="n">
        <v>777.199723247232</v>
      </c>
      <c r="Q11" s="3" t="s">
        <v>91</v>
      </c>
    </row>
    <row r="12" customFormat="false" ht="14.65" hidden="false" customHeight="false" outlineLevel="0" collapsed="false">
      <c r="A12" s="4" t="s">
        <v>18</v>
      </c>
      <c r="B12" s="2" t="n">
        <v>24431</v>
      </c>
      <c r="C12" s="2" t="n">
        <v>24890</v>
      </c>
      <c r="D12" s="2" t="n">
        <v>30.47</v>
      </c>
      <c r="E12" s="2" t="n">
        <v>2.14</v>
      </c>
      <c r="F12" s="2" t="n">
        <v>0.399</v>
      </c>
      <c r="G12" s="2" t="n">
        <v>0.868</v>
      </c>
      <c r="H12" s="2" t="n">
        <v>308.24</v>
      </c>
      <c r="I12" s="2" t="n">
        <v>6623</v>
      </c>
      <c r="J12" s="2" t="n">
        <v>59441</v>
      </c>
      <c r="K12" s="2" t="n">
        <v>111.421409464848</v>
      </c>
      <c r="L12" s="3" t="n">
        <v>737696</v>
      </c>
      <c r="M12" s="3" t="n">
        <v>110879</v>
      </c>
      <c r="N12" s="3" t="n">
        <v>110790</v>
      </c>
      <c r="O12" s="3" t="n">
        <v>89</v>
      </c>
      <c r="P12" s="3" t="n">
        <v>8288.7191011236</v>
      </c>
      <c r="Q12" s="3" t="s">
        <v>96</v>
      </c>
    </row>
    <row r="13" customFormat="false" ht="14.65" hidden="false" customHeight="false" outlineLevel="0" collapsed="false">
      <c r="A13" s="4" t="s">
        <v>19</v>
      </c>
      <c r="B13" s="2" t="n">
        <v>30420</v>
      </c>
      <c r="C13" s="2" t="n">
        <v>31136</v>
      </c>
      <c r="D13" s="2" t="n">
        <v>65.14</v>
      </c>
      <c r="E13" s="2" t="n">
        <v>18.58</v>
      </c>
      <c r="F13" s="2" t="n">
        <v>0.585</v>
      </c>
      <c r="G13" s="2" t="n">
        <v>0.585</v>
      </c>
      <c r="H13" s="2" t="n">
        <v>616.43</v>
      </c>
      <c r="I13" s="2" t="n">
        <v>1135</v>
      </c>
      <c r="J13" s="2" t="n">
        <v>6470</v>
      </c>
      <c r="K13" s="2" t="n">
        <v>175.425038639876</v>
      </c>
      <c r="L13" s="3" t="n">
        <v>303746</v>
      </c>
      <c r="M13" s="3" t="n">
        <v>4106</v>
      </c>
      <c r="N13" s="3" t="n">
        <v>4106</v>
      </c>
      <c r="O13" s="3" t="n">
        <v>0</v>
      </c>
      <c r="P13" s="3" t="s">
        <v>20</v>
      </c>
      <c r="Q13" s="3" t="s">
        <v>91</v>
      </c>
    </row>
    <row r="14" customFormat="false" ht="14.65" hidden="false" customHeight="false" outlineLevel="0" collapsed="false">
      <c r="A14" s="5" t="s">
        <v>21</v>
      </c>
      <c r="B14" s="2" t="n">
        <v>22276</v>
      </c>
      <c r="C14" s="2" t="n">
        <v>23261</v>
      </c>
      <c r="D14" s="2" t="n">
        <v>21.82</v>
      </c>
      <c r="E14" s="2" t="n">
        <v>2.79</v>
      </c>
      <c r="F14" s="2" t="n">
        <v>0.482</v>
      </c>
      <c r="G14" s="2" t="n">
        <v>0.714</v>
      </c>
      <c r="H14" s="2" t="n">
        <v>242.58</v>
      </c>
      <c r="I14" s="2" t="n">
        <v>1039</v>
      </c>
      <c r="J14" s="2" t="n">
        <v>83574</v>
      </c>
      <c r="K14" s="2" t="n">
        <v>12.4320961064446</v>
      </c>
      <c r="L14" s="3" t="n">
        <v>124933</v>
      </c>
      <c r="M14" s="3" t="n">
        <v>58835</v>
      </c>
      <c r="N14" s="3" t="n">
        <v>58588</v>
      </c>
      <c r="O14" s="3" t="n">
        <v>247</v>
      </c>
      <c r="P14" s="3" t="n">
        <v>505.801619433198</v>
      </c>
      <c r="Q14" s="3" t="s">
        <v>93</v>
      </c>
    </row>
    <row r="15" customFormat="false" ht="14.65" hidden="false" customHeight="false" outlineLevel="0" collapsed="false">
      <c r="A15" s="4" t="s">
        <v>22</v>
      </c>
      <c r="B15" s="2" t="n">
        <v>29712</v>
      </c>
      <c r="C15" s="2" t="n">
        <v>30507</v>
      </c>
      <c r="D15" s="2" t="n">
        <v>29.97</v>
      </c>
      <c r="E15" s="2" t="n">
        <v>4.26</v>
      </c>
      <c r="F15" s="2" t="n">
        <v>0.605</v>
      </c>
      <c r="G15" s="2" t="n">
        <v>0.868</v>
      </c>
      <c r="H15" s="2" t="n">
        <v>387.64</v>
      </c>
      <c r="I15" s="2" t="n">
        <v>11543</v>
      </c>
      <c r="J15" s="2" t="n">
        <v>57918</v>
      </c>
      <c r="K15" s="2" t="n">
        <v>199.299008943679</v>
      </c>
      <c r="L15" s="3" t="n">
        <v>1469756</v>
      </c>
      <c r="M15" s="3" t="n">
        <v>136965</v>
      </c>
      <c r="N15" s="3" t="n">
        <v>136402</v>
      </c>
      <c r="O15" s="3" t="n">
        <v>563</v>
      </c>
      <c r="P15" s="3" t="n">
        <v>2610.57904085258</v>
      </c>
      <c r="Q15" s="3" t="s">
        <v>94</v>
      </c>
    </row>
    <row r="16" customFormat="false" ht="14.65" hidden="false" customHeight="false" outlineLevel="0" collapsed="false">
      <c r="A16" s="4" t="s">
        <v>23</v>
      </c>
      <c r="B16" s="2" t="n">
        <v>25309</v>
      </c>
      <c r="C16" s="2" t="n">
        <v>25876</v>
      </c>
      <c r="D16" s="2" t="n">
        <v>22.9</v>
      </c>
      <c r="E16" s="2" t="n">
        <v>6.97</v>
      </c>
      <c r="F16" s="2" t="n">
        <v>0.474</v>
      </c>
      <c r="G16" s="2" t="n">
        <v>0.811</v>
      </c>
      <c r="H16" s="2" t="n">
        <v>295.89</v>
      </c>
      <c r="I16" s="2" t="n">
        <v>5610</v>
      </c>
      <c r="J16" s="2" t="n">
        <v>36420</v>
      </c>
      <c r="K16" s="2" t="n">
        <v>154.036243822076</v>
      </c>
      <c r="L16" s="3" t="n">
        <v>635631</v>
      </c>
      <c r="M16" s="3" t="n">
        <v>92374</v>
      </c>
      <c r="N16" s="3" t="n">
        <v>92054</v>
      </c>
      <c r="O16" s="3" t="n">
        <v>320</v>
      </c>
      <c r="P16" s="3" t="n">
        <v>1986.346875</v>
      </c>
      <c r="Q16" s="3" t="s">
        <v>93</v>
      </c>
    </row>
    <row r="17" customFormat="false" ht="14.65" hidden="false" customHeight="false" outlineLevel="0" collapsed="false">
      <c r="A17" s="4" t="s">
        <v>24</v>
      </c>
      <c r="B17" s="2" t="n">
        <v>24183</v>
      </c>
      <c r="C17" s="2" t="n">
        <v>24735</v>
      </c>
      <c r="D17" s="2" t="n">
        <v>22.93</v>
      </c>
      <c r="E17" s="2" t="n">
        <v>2.17</v>
      </c>
      <c r="F17" s="2" t="n">
        <v>0.43</v>
      </c>
      <c r="G17" s="2" t="n">
        <v>0.782</v>
      </c>
      <c r="H17" s="2" t="n">
        <v>242.23</v>
      </c>
      <c r="I17" s="2" t="n">
        <v>2795</v>
      </c>
      <c r="J17" s="2" t="n">
        <v>56276</v>
      </c>
      <c r="K17" s="2" t="n">
        <v>49.6659321913427</v>
      </c>
      <c r="L17" s="3" t="n">
        <v>412640</v>
      </c>
      <c r="M17" s="3" t="n">
        <v>112708</v>
      </c>
      <c r="N17" s="3" t="n">
        <v>112586</v>
      </c>
      <c r="O17" s="3" t="n">
        <v>122</v>
      </c>
      <c r="P17" s="3" t="n">
        <v>3382.29508196721</v>
      </c>
      <c r="Q17" s="3" t="s">
        <v>93</v>
      </c>
    </row>
    <row r="18" customFormat="false" ht="14.65" hidden="false" customHeight="false" outlineLevel="0" collapsed="false">
      <c r="A18" s="5" t="s">
        <v>25</v>
      </c>
      <c r="B18" s="2" t="n">
        <v>22923</v>
      </c>
      <c r="C18" s="2" t="n">
        <v>23243</v>
      </c>
      <c r="D18" s="2" t="n">
        <v>24.42</v>
      </c>
      <c r="E18" s="2" t="n">
        <v>2.15</v>
      </c>
      <c r="F18" s="2" t="n">
        <v>0.553</v>
      </c>
      <c r="G18" s="2" t="n">
        <v>0.755</v>
      </c>
      <c r="H18" s="2" t="n">
        <v>279.65</v>
      </c>
      <c r="I18" s="2" t="n">
        <v>2495</v>
      </c>
      <c r="J18" s="2" t="n">
        <v>82282</v>
      </c>
      <c r="K18" s="2" t="n">
        <v>30.3225492817384</v>
      </c>
      <c r="L18" s="3" t="n">
        <v>433598</v>
      </c>
      <c r="M18" s="3" t="n">
        <v>133256</v>
      </c>
      <c r="N18" s="3" t="n">
        <v>133655</v>
      </c>
      <c r="O18" s="3" t="n">
        <v>-399</v>
      </c>
      <c r="P18" s="3" t="n">
        <v>-1086.71177944862</v>
      </c>
      <c r="Q18" s="3" t="s">
        <v>93</v>
      </c>
    </row>
    <row r="19" customFormat="false" ht="14.65" hidden="false" customHeight="false" outlineLevel="0" collapsed="false">
      <c r="A19" s="4" t="s">
        <v>26</v>
      </c>
      <c r="B19" s="2" t="n">
        <v>23908</v>
      </c>
      <c r="C19" s="2" t="n">
        <v>24444</v>
      </c>
      <c r="D19" s="2" t="n">
        <v>28.41</v>
      </c>
      <c r="E19" s="2" t="n">
        <v>7.43</v>
      </c>
      <c r="F19" s="2" t="n">
        <v>0.513</v>
      </c>
      <c r="G19" s="2" t="n">
        <v>0.792</v>
      </c>
      <c r="H19" s="2" t="n">
        <v>307.8</v>
      </c>
      <c r="I19" s="2" t="n">
        <v>3713</v>
      </c>
      <c r="J19" s="2" t="n">
        <v>40411</v>
      </c>
      <c r="K19" s="2" t="n">
        <v>91.8809235109252</v>
      </c>
      <c r="L19" s="3" t="s">
        <v>20</v>
      </c>
      <c r="M19" s="3" t="n">
        <v>72632</v>
      </c>
      <c r="N19" s="3" t="n">
        <v>71765</v>
      </c>
      <c r="O19" s="3" t="n">
        <v>867</v>
      </c>
      <c r="P19" s="3" t="s">
        <v>20</v>
      </c>
      <c r="Q19" s="3" t="s">
        <v>91</v>
      </c>
    </row>
    <row r="20" customFormat="false" ht="14.65" hidden="false" customHeight="false" outlineLevel="0" collapsed="false">
      <c r="A20" s="4" t="s">
        <v>27</v>
      </c>
      <c r="B20" s="2" t="n">
        <v>22383</v>
      </c>
      <c r="C20" s="2" t="n">
        <v>22775</v>
      </c>
      <c r="D20" s="2" t="n">
        <v>28.62</v>
      </c>
      <c r="E20" s="2" t="n">
        <v>5.79</v>
      </c>
      <c r="F20" s="2" t="n">
        <v>0.325</v>
      </c>
      <c r="G20" s="2" t="n">
        <v>0.685</v>
      </c>
      <c r="H20" s="2" t="n">
        <v>215.76</v>
      </c>
      <c r="I20" s="2" t="n">
        <v>4252</v>
      </c>
      <c r="J20" s="2" t="n">
        <v>51843</v>
      </c>
      <c r="K20" s="2" t="n">
        <v>82.0168585922883</v>
      </c>
      <c r="L20" s="3" t="n">
        <v>598835</v>
      </c>
      <c r="M20" s="3" t="n">
        <v>59599</v>
      </c>
      <c r="N20" s="3" t="n">
        <v>58629</v>
      </c>
      <c r="O20" s="3" t="n">
        <v>970</v>
      </c>
      <c r="P20" s="3" t="n">
        <v>617.355670103093</v>
      </c>
      <c r="Q20" s="3" t="s">
        <v>99</v>
      </c>
    </row>
    <row r="21" customFormat="false" ht="14.65" hidden="false" customHeight="false" outlineLevel="0" collapsed="false">
      <c r="A21" s="4" t="s">
        <v>28</v>
      </c>
      <c r="B21" s="2" t="n">
        <v>24466</v>
      </c>
      <c r="C21" s="2" t="n">
        <v>25076</v>
      </c>
      <c r="D21" s="2" t="n">
        <v>24.53</v>
      </c>
      <c r="E21" s="2" t="n">
        <v>4.24</v>
      </c>
      <c r="F21" s="2" t="n">
        <v>0.811</v>
      </c>
      <c r="G21" s="2" t="n">
        <v>0.806</v>
      </c>
      <c r="H21" s="2" t="n">
        <v>300.09</v>
      </c>
      <c r="I21" s="2" t="n">
        <v>1235</v>
      </c>
      <c r="J21" s="2" t="n">
        <v>35387</v>
      </c>
      <c r="K21" s="2" t="n">
        <v>34.8998219685195</v>
      </c>
      <c r="L21" s="3" t="n">
        <v>138465</v>
      </c>
      <c r="M21" s="3" t="n">
        <v>22510</v>
      </c>
      <c r="N21" s="3" t="n">
        <v>22481</v>
      </c>
      <c r="O21" s="3" t="n">
        <v>29</v>
      </c>
      <c r="P21" s="3" t="n">
        <v>4774.65517241379</v>
      </c>
      <c r="Q21" s="3" t="s">
        <v>91</v>
      </c>
    </row>
    <row r="22" customFormat="false" ht="14.65" hidden="false" customHeight="false" outlineLevel="0" collapsed="false">
      <c r="A22" s="5" t="s">
        <v>29</v>
      </c>
      <c r="B22" s="2" t="n">
        <v>32930</v>
      </c>
      <c r="C22" s="2" t="n">
        <v>34052</v>
      </c>
      <c r="D22" s="2" t="n">
        <v>26.2</v>
      </c>
      <c r="E22" s="2" t="n">
        <v>2.48</v>
      </c>
      <c r="F22" s="2" t="n">
        <v>0.505</v>
      </c>
      <c r="G22" s="2" t="n">
        <v>0.808</v>
      </c>
      <c r="H22" s="2" t="n">
        <v>286.69</v>
      </c>
      <c r="I22" s="2" t="n">
        <v>4860</v>
      </c>
      <c r="J22" s="2" t="n">
        <v>12407</v>
      </c>
      <c r="K22" s="2" t="n">
        <v>391.71435479971</v>
      </c>
      <c r="L22" s="3" t="n">
        <v>471633</v>
      </c>
      <c r="M22" s="3" t="n">
        <v>29313</v>
      </c>
      <c r="N22" s="3" t="n">
        <v>29172</v>
      </c>
      <c r="O22" s="3" t="n">
        <v>141</v>
      </c>
      <c r="P22" s="3" t="n">
        <v>3344.91489361702</v>
      </c>
      <c r="Q22" s="3" t="s">
        <v>96</v>
      </c>
    </row>
    <row r="23" customFormat="false" ht="14.65" hidden="false" customHeight="false" outlineLevel="0" collapsed="false">
      <c r="A23" s="4" t="s">
        <v>30</v>
      </c>
      <c r="B23" s="2" t="n">
        <v>31609</v>
      </c>
      <c r="C23" s="2" t="n">
        <v>33039</v>
      </c>
      <c r="D23" s="2" t="n">
        <v>28.96</v>
      </c>
      <c r="E23" s="2" t="n">
        <v>3.17</v>
      </c>
      <c r="F23" s="2" t="n">
        <v>0.719</v>
      </c>
      <c r="G23" s="2" t="n">
        <v>0.683</v>
      </c>
      <c r="H23" s="2" t="n">
        <v>93.8</v>
      </c>
      <c r="I23" s="2" t="n">
        <v>5996</v>
      </c>
      <c r="J23" s="2" t="n">
        <v>10555</v>
      </c>
      <c r="K23" s="2" t="n">
        <v>568.072003789673</v>
      </c>
      <c r="L23" s="3" t="s">
        <v>20</v>
      </c>
      <c r="M23" s="3" t="n">
        <v>30563</v>
      </c>
      <c r="N23" s="3" t="n">
        <v>34323</v>
      </c>
      <c r="O23" s="3" t="n">
        <v>-3760</v>
      </c>
      <c r="P23" s="3" t="s">
        <v>20</v>
      </c>
      <c r="Q23" s="3" t="s">
        <v>94</v>
      </c>
    </row>
    <row r="24" customFormat="false" ht="14.65" hidden="false" customHeight="false" outlineLevel="0" collapsed="false">
      <c r="A24" s="4" t="s">
        <v>31</v>
      </c>
      <c r="B24" s="2" t="n">
        <v>30074</v>
      </c>
      <c r="C24" s="2" t="n">
        <v>30740</v>
      </c>
      <c r="D24" s="2" t="n">
        <v>26.64</v>
      </c>
      <c r="E24" s="2" t="n">
        <v>3.23</v>
      </c>
      <c r="F24" s="2" t="n">
        <v>0.557</v>
      </c>
      <c r="G24" s="2" t="n">
        <v>1.1</v>
      </c>
      <c r="H24" s="2" t="n">
        <v>268.24</v>
      </c>
      <c r="I24" s="2" t="n">
        <v>9368</v>
      </c>
      <c r="J24" s="2" t="n">
        <v>96810</v>
      </c>
      <c r="K24" s="2" t="n">
        <v>96.7668629273835</v>
      </c>
      <c r="L24" s="3" t="n">
        <v>561494</v>
      </c>
      <c r="M24" s="3" t="n">
        <v>117659</v>
      </c>
      <c r="N24" s="3" t="n">
        <v>117520</v>
      </c>
      <c r="O24" s="3" t="n">
        <v>139</v>
      </c>
      <c r="P24" s="3" t="n">
        <v>4039.52517985612</v>
      </c>
      <c r="Q24" s="3" t="s">
        <v>94</v>
      </c>
    </row>
    <row r="25" customFormat="false" ht="14.65" hidden="false" customHeight="false" outlineLevel="0" collapsed="false">
      <c r="A25" s="4" t="s">
        <v>32</v>
      </c>
      <c r="B25" s="2" t="n">
        <v>28052</v>
      </c>
      <c r="C25" s="2" t="n">
        <v>28807</v>
      </c>
      <c r="D25" s="2" t="n">
        <v>19.28</v>
      </c>
      <c r="E25" s="2" t="n">
        <v>1.58</v>
      </c>
      <c r="F25" s="2" t="n">
        <v>0.447</v>
      </c>
      <c r="G25" s="2" t="n">
        <v>0.825</v>
      </c>
      <c r="H25" s="2" t="n">
        <v>150.76</v>
      </c>
      <c r="I25" s="2" t="n">
        <v>4432</v>
      </c>
      <c r="J25" s="2" t="n">
        <v>86943</v>
      </c>
      <c r="K25" s="2" t="n">
        <v>50.9759267566107</v>
      </c>
      <c r="L25" s="3" t="n">
        <v>608127</v>
      </c>
      <c r="M25" s="3" t="n">
        <v>129959</v>
      </c>
      <c r="N25" s="3" t="n">
        <v>129622</v>
      </c>
      <c r="O25" s="3" t="n">
        <v>337</v>
      </c>
      <c r="P25" s="3" t="n">
        <v>1804.53115727003</v>
      </c>
      <c r="Q25" s="3" t="s">
        <v>95</v>
      </c>
    </row>
    <row r="26" customFormat="false" ht="14.65" hidden="false" customHeight="false" outlineLevel="0" collapsed="false">
      <c r="A26" s="5" t="s">
        <v>33</v>
      </c>
      <c r="B26" s="2" t="n">
        <v>20777</v>
      </c>
      <c r="C26" s="2" t="n">
        <v>21643</v>
      </c>
      <c r="D26" s="2" t="n">
        <v>29.17</v>
      </c>
      <c r="E26" s="2" t="n">
        <v>1.65</v>
      </c>
      <c r="F26" s="2" t="n">
        <v>0.334</v>
      </c>
      <c r="G26" s="2" t="n">
        <v>0.74</v>
      </c>
      <c r="H26" s="2" t="n">
        <v>211.04</v>
      </c>
      <c r="I26" s="2" t="n">
        <v>2592</v>
      </c>
      <c r="J26" s="2" t="n">
        <v>48434</v>
      </c>
      <c r="K26" s="2" t="n">
        <v>53.5161250361316</v>
      </c>
      <c r="L26" s="3" t="n">
        <v>433576</v>
      </c>
      <c r="M26" s="3" t="n">
        <v>72834</v>
      </c>
      <c r="N26" s="3" t="n">
        <v>72795</v>
      </c>
      <c r="O26" s="3" t="n">
        <v>39</v>
      </c>
      <c r="P26" s="3" t="n">
        <v>11117.3333333333</v>
      </c>
      <c r="Q26" s="3" t="s">
        <v>91</v>
      </c>
    </row>
    <row r="27" customFormat="false" ht="14.65" hidden="false" customHeight="false" outlineLevel="0" collapsed="false">
      <c r="A27" s="4" t="s">
        <v>34</v>
      </c>
      <c r="B27" s="2" t="n">
        <v>24807</v>
      </c>
      <c r="C27" s="2" t="n">
        <v>25475</v>
      </c>
      <c r="D27" s="2" t="n">
        <v>23.54</v>
      </c>
      <c r="E27" s="2" t="n">
        <v>2.57</v>
      </c>
      <c r="F27" s="2" t="n">
        <v>0.606</v>
      </c>
      <c r="G27" s="2" t="n">
        <v>0.771</v>
      </c>
      <c r="H27" s="2" t="n">
        <v>317.83</v>
      </c>
      <c r="I27" s="2" t="n">
        <v>5158</v>
      </c>
      <c r="J27" s="2" t="n">
        <v>69709</v>
      </c>
      <c r="K27" s="2" t="n">
        <v>73.9933150669211</v>
      </c>
      <c r="L27" s="3" t="n">
        <v>500132</v>
      </c>
      <c r="M27" s="3" t="n">
        <v>121787</v>
      </c>
      <c r="N27" s="3" t="n">
        <v>121424</v>
      </c>
      <c r="O27" s="3" t="n">
        <v>363</v>
      </c>
      <c r="P27" s="3" t="n">
        <v>1377.7741046832</v>
      </c>
      <c r="Q27" s="3" t="s">
        <v>96</v>
      </c>
    </row>
    <row r="28" customFormat="false" ht="14.65" hidden="false" customHeight="false" outlineLevel="0" collapsed="false">
      <c r="A28" s="4" t="s">
        <v>35</v>
      </c>
      <c r="B28" s="2" t="n">
        <v>23744</v>
      </c>
      <c r="C28" s="2" t="n">
        <v>24180</v>
      </c>
      <c r="D28" s="2" t="n">
        <v>23.74</v>
      </c>
      <c r="E28" s="2" t="n">
        <v>3.21</v>
      </c>
      <c r="F28" s="2" t="n">
        <v>0.513</v>
      </c>
      <c r="G28" s="2" t="n">
        <v>0.655</v>
      </c>
      <c r="H28" s="2" t="n">
        <v>238.51</v>
      </c>
      <c r="I28" s="2" t="n">
        <v>808</v>
      </c>
      <c r="J28" s="2" t="n">
        <v>147046</v>
      </c>
      <c r="K28" s="2" t="n">
        <v>5.49487915346218</v>
      </c>
      <c r="L28" s="3" t="n">
        <v>190349</v>
      </c>
      <c r="M28" s="3" t="n">
        <v>69768</v>
      </c>
      <c r="N28" s="3" t="n">
        <v>70357</v>
      </c>
      <c r="O28" s="3" t="n">
        <v>-589</v>
      </c>
      <c r="P28" s="3" t="n">
        <v>-323.173174872666</v>
      </c>
      <c r="Q28" s="3" t="s">
        <v>91</v>
      </c>
    </row>
    <row r="29" customFormat="false" ht="14.65" hidden="false" customHeight="false" outlineLevel="0" collapsed="false">
      <c r="A29" s="4" t="s">
        <v>36</v>
      </c>
      <c r="B29" s="2" t="n">
        <v>23214</v>
      </c>
      <c r="C29" s="2" t="n">
        <v>23698</v>
      </c>
      <c r="D29" s="2" t="n">
        <v>22.21</v>
      </c>
      <c r="E29" s="2" t="n">
        <v>2.03</v>
      </c>
      <c r="F29" s="2" t="n">
        <v>0.781</v>
      </c>
      <c r="G29" s="2" t="n">
        <v>0.635</v>
      </c>
      <c r="H29" s="2" t="n">
        <v>304.88</v>
      </c>
      <c r="I29" s="2" t="n">
        <v>1593</v>
      </c>
      <c r="J29" s="2" t="n">
        <v>77355</v>
      </c>
      <c r="K29" s="2" t="n">
        <v>20.5933682373473</v>
      </c>
      <c r="L29" s="3" t="n">
        <v>272526</v>
      </c>
      <c r="M29" s="3" t="n">
        <v>92702</v>
      </c>
      <c r="N29" s="3" t="n">
        <v>92686</v>
      </c>
      <c r="O29" s="3" t="n">
        <v>16</v>
      </c>
      <c r="P29" s="3" t="n">
        <v>17032.875</v>
      </c>
      <c r="Q29" s="3" t="s">
        <v>93</v>
      </c>
    </row>
    <row r="30" customFormat="false" ht="14.65" hidden="false" customHeight="false" outlineLevel="0" collapsed="false">
      <c r="A30" s="5" t="s">
        <v>37</v>
      </c>
      <c r="B30" s="2" t="n">
        <v>30929</v>
      </c>
      <c r="C30" s="2" t="n">
        <v>31617</v>
      </c>
      <c r="D30" s="2" t="n">
        <v>20.67</v>
      </c>
      <c r="E30" s="2" t="n">
        <v>3.33</v>
      </c>
      <c r="F30" s="2" t="n">
        <v>0.478</v>
      </c>
      <c r="G30" s="2" t="n">
        <v>0.994</v>
      </c>
      <c r="H30" s="2" t="n">
        <v>236.94</v>
      </c>
      <c r="I30" s="2" t="n">
        <v>1284</v>
      </c>
      <c r="J30" s="2" t="n">
        <v>110567</v>
      </c>
      <c r="K30" s="2" t="n">
        <v>11.612868215652</v>
      </c>
      <c r="L30" s="3" t="s">
        <v>20</v>
      </c>
      <c r="M30" s="3" t="n">
        <v>45778</v>
      </c>
      <c r="N30" s="3" t="n">
        <v>45657</v>
      </c>
      <c r="O30" s="3" t="n">
        <v>121</v>
      </c>
      <c r="P30" s="3" t="s">
        <v>20</v>
      </c>
      <c r="Q30" s="3" t="s">
        <v>91</v>
      </c>
    </row>
    <row r="31" customFormat="false" ht="14.65" hidden="false" customHeight="false" outlineLevel="0" collapsed="false">
      <c r="A31" s="4" t="s">
        <v>38</v>
      </c>
      <c r="B31" s="2" t="n">
        <v>26304</v>
      </c>
      <c r="C31" s="2" t="n">
        <v>27116</v>
      </c>
      <c r="D31" s="2" t="n">
        <v>26.4</v>
      </c>
      <c r="E31" s="2" t="n">
        <v>3.09</v>
      </c>
      <c r="F31" s="2" t="n">
        <v>0.482</v>
      </c>
      <c r="G31" s="2" t="n">
        <v>1.115</v>
      </c>
      <c r="H31" s="2" t="n">
        <v>209.89</v>
      </c>
      <c r="I31" s="2" t="n">
        <v>1105</v>
      </c>
      <c r="J31" s="2" t="n">
        <v>9351</v>
      </c>
      <c r="K31" s="2" t="n">
        <v>118.16917976687</v>
      </c>
      <c r="L31" s="3" t="n">
        <v>171552</v>
      </c>
      <c r="M31" s="3" t="n">
        <v>14938</v>
      </c>
      <c r="N31" s="3" t="n">
        <v>14913</v>
      </c>
      <c r="O31" s="3" t="n">
        <v>25</v>
      </c>
      <c r="P31" s="3" t="n">
        <v>6862.08</v>
      </c>
      <c r="Q31" s="3" t="s">
        <v>91</v>
      </c>
    </row>
    <row r="32" customFormat="false" ht="14.65" hidden="false" customHeight="false" outlineLevel="0" collapsed="false">
      <c r="A32" s="4" t="s">
        <v>39</v>
      </c>
      <c r="B32" s="2" t="n">
        <v>35532</v>
      </c>
      <c r="C32" s="2" t="n">
        <v>37039</v>
      </c>
      <c r="D32" s="2" t="n">
        <v>27.28</v>
      </c>
      <c r="E32" s="2" t="n">
        <v>7.11</v>
      </c>
      <c r="F32" s="2" t="n">
        <v>0.75</v>
      </c>
      <c r="G32" s="2" t="n">
        <v>1.175</v>
      </c>
      <c r="H32" s="2" t="n">
        <v>320.62</v>
      </c>
      <c r="I32" s="2" t="n">
        <v>7760</v>
      </c>
      <c r="J32" s="2" t="n">
        <v>8722</v>
      </c>
      <c r="K32" s="2" t="n">
        <v>889.704196285256</v>
      </c>
      <c r="L32" s="3" t="n">
        <v>1041696</v>
      </c>
      <c r="M32" s="3" t="n">
        <v>35097</v>
      </c>
      <c r="N32" s="3" t="n">
        <v>34286</v>
      </c>
      <c r="O32" s="3" t="n">
        <v>811</v>
      </c>
      <c r="P32" s="3" t="n">
        <v>1284.45869297164</v>
      </c>
      <c r="Q32" s="3" t="s">
        <v>95</v>
      </c>
    </row>
    <row r="33" customFormat="false" ht="14.65" hidden="false" customHeight="false" outlineLevel="0" collapsed="false">
      <c r="A33" s="4" t="s">
        <v>40</v>
      </c>
      <c r="B33" s="2" t="n">
        <v>25083</v>
      </c>
      <c r="C33" s="2" t="n">
        <v>26013</v>
      </c>
      <c r="D33" s="2" t="n">
        <v>22.47</v>
      </c>
      <c r="E33" s="2" t="n">
        <v>2.68</v>
      </c>
      <c r="F33" s="2" t="n">
        <v>0.592</v>
      </c>
      <c r="G33" s="2" t="n">
        <v>2.241</v>
      </c>
      <c r="H33" s="2" t="n">
        <v>298.37</v>
      </c>
      <c r="I33" s="2" t="n">
        <v>1548</v>
      </c>
      <c r="J33" s="2" t="n">
        <v>121598</v>
      </c>
      <c r="K33" s="2" t="n">
        <v>12.7304725406668</v>
      </c>
      <c r="L33" s="3" t="n">
        <v>316817</v>
      </c>
      <c r="M33" s="3" t="n">
        <v>60812</v>
      </c>
      <c r="N33" s="3" t="n">
        <v>61195</v>
      </c>
      <c r="O33" s="3" t="n">
        <v>-383</v>
      </c>
      <c r="P33" s="3" t="n">
        <v>-827.198433420366</v>
      </c>
      <c r="Q33" s="3" t="s">
        <v>95</v>
      </c>
    </row>
    <row r="34" customFormat="false" ht="14.65" hidden="false" customHeight="false" outlineLevel="0" collapsed="false">
      <c r="A34" s="5" t="s">
        <v>41</v>
      </c>
      <c r="B34" s="2" t="n">
        <v>33575</v>
      </c>
      <c r="C34" s="2" t="n">
        <v>34776</v>
      </c>
      <c r="D34" s="2" t="n">
        <v>29.27</v>
      </c>
      <c r="E34" s="2" t="n">
        <v>4.76</v>
      </c>
      <c r="F34" s="2" t="n">
        <v>0.727</v>
      </c>
      <c r="G34" s="2" t="n">
        <v>0.978</v>
      </c>
      <c r="H34" s="2" t="n">
        <v>426.54</v>
      </c>
      <c r="I34" s="2" t="n">
        <v>18058</v>
      </c>
      <c r="J34" s="2" t="n">
        <v>54475</v>
      </c>
      <c r="K34" s="2" t="n">
        <v>331.491509866911</v>
      </c>
      <c r="L34" s="3" t="n">
        <v>2205223</v>
      </c>
      <c r="M34" s="3" t="n">
        <v>111882</v>
      </c>
      <c r="N34" s="3" t="n">
        <v>111686</v>
      </c>
      <c r="O34" s="3" t="n">
        <v>196</v>
      </c>
      <c r="P34" s="3" t="n">
        <v>11251.137755102</v>
      </c>
      <c r="Q34" s="3" t="s">
        <v>92</v>
      </c>
    </row>
    <row r="35" customFormat="false" ht="14.65" hidden="false" customHeight="false" outlineLevel="0" collapsed="false">
      <c r="A35" s="4" t="s">
        <v>42</v>
      </c>
      <c r="B35" s="2" t="n">
        <v>24581</v>
      </c>
      <c r="C35" s="2" t="n">
        <v>25105</v>
      </c>
      <c r="D35" s="2" t="n">
        <v>25.82</v>
      </c>
      <c r="E35" s="2" t="n">
        <v>1.92</v>
      </c>
      <c r="F35" s="2" t="n">
        <v>0.448</v>
      </c>
      <c r="G35" s="2" t="n">
        <v>0.826</v>
      </c>
      <c r="H35" s="2" t="n">
        <v>250.09</v>
      </c>
      <c r="I35" s="2" t="n">
        <v>6737</v>
      </c>
      <c r="J35" s="2" t="n">
        <v>53821</v>
      </c>
      <c r="K35" s="2" t="n">
        <v>125.174188513777</v>
      </c>
      <c r="L35" s="3" t="n">
        <v>820790</v>
      </c>
      <c r="M35" s="3" t="n">
        <v>96028</v>
      </c>
      <c r="N35" s="3" t="n">
        <v>95582</v>
      </c>
      <c r="O35" s="3" t="n">
        <v>446</v>
      </c>
      <c r="P35" s="3" t="n">
        <v>1840.33632286996</v>
      </c>
      <c r="Q35" s="3" t="s">
        <v>96</v>
      </c>
    </row>
    <row r="36" customFormat="false" ht="14.65" hidden="false" customHeight="false" outlineLevel="0" collapsed="false">
      <c r="A36" s="4" t="s">
        <v>43</v>
      </c>
      <c r="B36" s="2" t="n">
        <v>21716</v>
      </c>
      <c r="C36" s="2" t="n">
        <v>22248</v>
      </c>
      <c r="D36" s="2" t="n">
        <v>53.34</v>
      </c>
      <c r="E36" s="2" t="n">
        <v>1.02</v>
      </c>
      <c r="F36" s="2" t="n">
        <v>0.581</v>
      </c>
      <c r="G36" s="2" t="n">
        <v>2.157</v>
      </c>
      <c r="H36" s="2" t="n">
        <v>328.51</v>
      </c>
      <c r="I36" s="2" t="n">
        <v>635</v>
      </c>
      <c r="J36" s="2" t="n">
        <v>70704</v>
      </c>
      <c r="K36" s="2" t="n">
        <v>8.98110432224485</v>
      </c>
      <c r="L36" s="3" t="n">
        <v>123086</v>
      </c>
      <c r="M36" s="3" t="n">
        <v>86727</v>
      </c>
      <c r="N36" s="3" t="n">
        <v>86648</v>
      </c>
      <c r="O36" s="3" t="n">
        <v>79</v>
      </c>
      <c r="P36" s="3" t="n">
        <v>1558.05063291139</v>
      </c>
      <c r="Q36" s="3" t="s">
        <v>91</v>
      </c>
    </row>
    <row r="37" customFormat="false" ht="14.65" hidden="false" customHeight="false" outlineLevel="0" collapsed="false">
      <c r="A37" s="4" t="s">
        <v>44</v>
      </c>
      <c r="B37" s="2" t="n">
        <v>27157</v>
      </c>
      <c r="C37" s="2" t="n">
        <v>27951</v>
      </c>
      <c r="D37" s="2" t="n">
        <v>22.5</v>
      </c>
      <c r="E37" s="2" t="n">
        <v>3.66</v>
      </c>
      <c r="F37" s="2" t="n">
        <v>0.467</v>
      </c>
      <c r="G37" s="2" t="n">
        <v>0.704</v>
      </c>
      <c r="H37" s="2" t="n">
        <v>269.34</v>
      </c>
      <c r="I37" s="2" t="n">
        <v>10939</v>
      </c>
      <c r="J37" s="2" t="n">
        <v>44828</v>
      </c>
      <c r="K37" s="2" t="n">
        <v>244.021593646828</v>
      </c>
      <c r="L37" s="3" t="n">
        <v>822230</v>
      </c>
      <c r="M37" s="3" t="n">
        <v>113823</v>
      </c>
      <c r="N37" s="3" t="n">
        <v>113823</v>
      </c>
      <c r="O37" s="3" t="n">
        <v>0</v>
      </c>
      <c r="P37" s="3" t="s">
        <v>20</v>
      </c>
      <c r="Q37" s="3" t="s">
        <v>91</v>
      </c>
    </row>
    <row r="38" customFormat="false" ht="14.65" hidden="false" customHeight="false" outlineLevel="0" collapsed="false">
      <c r="A38" s="5" t="s">
        <v>45</v>
      </c>
      <c r="B38" s="2" t="n">
        <v>23145</v>
      </c>
      <c r="C38" s="2" t="n">
        <v>23594</v>
      </c>
      <c r="D38" s="2" t="n">
        <v>27.52</v>
      </c>
      <c r="E38" s="2" t="n">
        <v>2.16</v>
      </c>
      <c r="F38" s="2" t="n">
        <v>0.467</v>
      </c>
      <c r="G38" s="2" t="n">
        <v>1.126</v>
      </c>
      <c r="H38" s="2" t="n">
        <v>213.21</v>
      </c>
      <c r="I38" s="2" t="n">
        <v>3175</v>
      </c>
      <c r="J38" s="2" t="n">
        <v>69903</v>
      </c>
      <c r="K38" s="2" t="n">
        <v>45.4200821137862</v>
      </c>
      <c r="L38" s="3" t="n">
        <v>333481</v>
      </c>
      <c r="M38" s="3" t="n">
        <v>112467</v>
      </c>
      <c r="N38" s="3" t="n">
        <v>112432</v>
      </c>
      <c r="O38" s="3" t="n">
        <v>35</v>
      </c>
      <c r="P38" s="3" t="n">
        <v>9528.02857142857</v>
      </c>
      <c r="Q38" s="3" t="s">
        <v>91</v>
      </c>
    </row>
    <row r="39" customFormat="false" ht="14.65" hidden="false" customHeight="false" outlineLevel="0" collapsed="false">
      <c r="A39" s="4" t="s">
        <v>46</v>
      </c>
      <c r="B39" s="2" t="n">
        <v>27778</v>
      </c>
      <c r="C39" s="2" t="n">
        <v>28609</v>
      </c>
      <c r="D39" s="2" t="n">
        <v>27.54</v>
      </c>
      <c r="E39" s="2" t="n">
        <v>7.14</v>
      </c>
      <c r="F39" s="2" t="n">
        <v>0.456</v>
      </c>
      <c r="G39" s="2" t="n">
        <v>0.665</v>
      </c>
      <c r="H39" s="2" t="n">
        <v>252.68</v>
      </c>
      <c r="I39" s="2" t="n">
        <v>2922</v>
      </c>
      <c r="J39" s="2" t="n">
        <v>98386</v>
      </c>
      <c r="K39" s="2" t="n">
        <v>29.6993474681357</v>
      </c>
      <c r="L39" s="3" t="n">
        <v>317143</v>
      </c>
      <c r="M39" s="3" t="n">
        <v>96036</v>
      </c>
      <c r="N39" s="3" t="n">
        <v>95237</v>
      </c>
      <c r="O39" s="3" t="n">
        <v>799</v>
      </c>
      <c r="P39" s="3" t="n">
        <v>396.924906132666</v>
      </c>
      <c r="Q39" s="3" t="s">
        <v>91</v>
      </c>
    </row>
    <row r="40" customFormat="false" ht="14.65" hidden="false" customHeight="false" outlineLevel="0" collapsed="false">
      <c r="A40" s="4" t="s">
        <v>47</v>
      </c>
      <c r="B40" s="2" t="n">
        <v>29870</v>
      </c>
      <c r="C40" s="2" t="n">
        <v>30653</v>
      </c>
      <c r="D40" s="2" t="n">
        <v>30.46</v>
      </c>
      <c r="E40" s="2" t="n">
        <v>3.7</v>
      </c>
      <c r="F40" s="2" t="n">
        <v>0.634</v>
      </c>
      <c r="G40" s="2" t="n">
        <v>0.998</v>
      </c>
      <c r="H40" s="2" t="n">
        <v>317.11</v>
      </c>
      <c r="I40" s="2" t="n">
        <v>11961</v>
      </c>
      <c r="J40" s="2" t="n">
        <v>46058</v>
      </c>
      <c r="K40" s="2" t="n">
        <v>259.694298493204</v>
      </c>
      <c r="L40" s="3" t="n">
        <v>1285147</v>
      </c>
      <c r="M40" s="3" t="n">
        <v>117038</v>
      </c>
      <c r="N40" s="3" t="n">
        <v>116788</v>
      </c>
      <c r="O40" s="3" t="n">
        <v>250</v>
      </c>
      <c r="P40" s="3" t="n">
        <v>5140.588</v>
      </c>
      <c r="Q40" s="3" t="s">
        <v>94</v>
      </c>
    </row>
    <row r="41" customFormat="false" ht="14.65" hidden="false" customHeight="false" outlineLevel="0" collapsed="false">
      <c r="A41" s="4" t="s">
        <v>48</v>
      </c>
      <c r="B41" s="2" t="n">
        <v>31024</v>
      </c>
      <c r="C41" s="2" t="n">
        <v>31778</v>
      </c>
      <c r="D41" s="2" t="n">
        <v>31.17</v>
      </c>
      <c r="E41" s="2" t="n">
        <v>3.35</v>
      </c>
      <c r="F41" s="2" t="n">
        <v>0.483</v>
      </c>
      <c r="G41" s="2" t="n">
        <v>0.885</v>
      </c>
      <c r="H41" s="2" t="n">
        <v>247.97</v>
      </c>
      <c r="I41" s="2" t="n">
        <v>1004</v>
      </c>
      <c r="J41" s="2" t="n">
        <v>1545</v>
      </c>
      <c r="K41" s="2" t="n">
        <v>649.838187702265</v>
      </c>
      <c r="L41" s="3" t="n">
        <v>221563</v>
      </c>
      <c r="M41" s="3" t="n">
        <v>6057</v>
      </c>
      <c r="N41" s="3" t="n">
        <v>6120</v>
      </c>
      <c r="O41" s="3" t="n">
        <v>-63</v>
      </c>
      <c r="P41" s="3" t="n">
        <v>-3516.87301587302</v>
      </c>
      <c r="Q41" s="3" t="s">
        <v>94</v>
      </c>
    </row>
    <row r="42" customFormat="false" ht="14.65" hidden="false" customHeight="false" outlineLevel="0" collapsed="false">
      <c r="A42" s="5" t="s">
        <v>49</v>
      </c>
      <c r="B42" s="2" t="n">
        <v>24142</v>
      </c>
      <c r="C42" s="2" t="n">
        <v>24336</v>
      </c>
      <c r="D42" s="2" t="n">
        <v>24.89</v>
      </c>
      <c r="E42" s="2" t="n">
        <v>2.66</v>
      </c>
      <c r="F42" s="2" t="n">
        <v>0.443</v>
      </c>
      <c r="G42" s="2" t="n">
        <v>0.851</v>
      </c>
      <c r="H42" s="2" t="n">
        <v>218.8</v>
      </c>
      <c r="I42" s="2" t="n">
        <v>3560</v>
      </c>
      <c r="J42" s="2" t="n">
        <v>32007</v>
      </c>
      <c r="K42" s="2" t="n">
        <v>111.225669384822</v>
      </c>
      <c r="L42" s="3" t="n">
        <v>406976</v>
      </c>
      <c r="M42" s="3" t="n">
        <v>64158</v>
      </c>
      <c r="N42" s="3" t="n">
        <v>64129</v>
      </c>
      <c r="O42" s="3" t="n">
        <v>29</v>
      </c>
      <c r="P42" s="3" t="n">
        <v>14033.6551724138</v>
      </c>
      <c r="Q42" s="3" t="s">
        <v>96</v>
      </c>
    </row>
    <row r="43" customFormat="false" ht="14.65" hidden="false" customHeight="false" outlineLevel="0" collapsed="false">
      <c r="A43" s="4" t="s">
        <v>50</v>
      </c>
      <c r="B43" s="2" t="n">
        <v>21562</v>
      </c>
      <c r="C43" s="2" t="n">
        <v>22336</v>
      </c>
      <c r="D43" s="2" t="n">
        <v>12.8</v>
      </c>
      <c r="E43" s="2" t="n">
        <v>1.22</v>
      </c>
      <c r="F43" s="2" t="n">
        <v>0.47</v>
      </c>
      <c r="G43" s="2" t="n">
        <v>0.47</v>
      </c>
      <c r="H43" s="2" t="n">
        <v>204.59</v>
      </c>
      <c r="I43" s="2" t="n">
        <v>703</v>
      </c>
      <c r="J43" s="2" t="n">
        <v>77121</v>
      </c>
      <c r="K43" s="2" t="n">
        <v>9.11554570091155</v>
      </c>
      <c r="L43" s="3" t="n">
        <v>189051</v>
      </c>
      <c r="M43" s="3" t="n">
        <v>83305</v>
      </c>
      <c r="N43" s="3" t="n">
        <v>83299</v>
      </c>
      <c r="O43" s="3" t="n">
        <v>6</v>
      </c>
      <c r="P43" s="3" t="n">
        <v>31508.5</v>
      </c>
      <c r="Q43" s="3" t="s">
        <v>93</v>
      </c>
    </row>
    <row r="44" customFormat="false" ht="14.65" hidden="false" customHeight="false" outlineLevel="0" collapsed="false">
      <c r="A44" s="4" t="s">
        <v>51</v>
      </c>
      <c r="B44" s="2" t="n">
        <v>24812</v>
      </c>
      <c r="C44" s="2" t="n">
        <v>25975</v>
      </c>
      <c r="D44" s="2" t="n">
        <v>22.78</v>
      </c>
      <c r="E44" s="2" t="n">
        <v>1.93</v>
      </c>
      <c r="F44" s="2" t="n">
        <v>0.443</v>
      </c>
      <c r="G44" s="2" t="n">
        <v>0.834</v>
      </c>
      <c r="H44" s="2" t="n">
        <v>220.25</v>
      </c>
      <c r="I44" s="2" t="n">
        <v>4953</v>
      </c>
      <c r="J44" s="2" t="n">
        <v>42146</v>
      </c>
      <c r="K44" s="2" t="n">
        <v>117.520049352252</v>
      </c>
      <c r="L44" s="3" t="n">
        <v>569278</v>
      </c>
      <c r="M44" s="3" t="n">
        <v>85037</v>
      </c>
      <c r="N44" s="3" t="n">
        <v>85144</v>
      </c>
      <c r="O44" s="3" t="n">
        <v>-107</v>
      </c>
      <c r="P44" s="3" t="n">
        <v>-5320.35514018692</v>
      </c>
      <c r="Q44" s="3" t="s">
        <v>96</v>
      </c>
    </row>
    <row r="45" customFormat="false" ht="14.65" hidden="false" customHeight="false" outlineLevel="0" collapsed="false">
      <c r="A45" s="4" t="s">
        <v>52</v>
      </c>
      <c r="B45" s="2" t="n">
        <v>24957</v>
      </c>
      <c r="C45" s="2" t="n">
        <v>25297</v>
      </c>
      <c r="D45" s="2" t="n">
        <v>31.76</v>
      </c>
      <c r="E45" s="2" t="n">
        <v>2.66</v>
      </c>
      <c r="F45" s="2" t="n">
        <v>0.322</v>
      </c>
      <c r="G45" s="2" t="n">
        <v>0.748</v>
      </c>
      <c r="H45" s="2" t="n">
        <v>221.41</v>
      </c>
      <c r="I45" s="2" t="n">
        <v>17349</v>
      </c>
      <c r="J45" s="2" t="n">
        <v>268601</v>
      </c>
      <c r="K45" s="2" t="n">
        <v>64.5902286290818</v>
      </c>
      <c r="L45" s="3" t="n">
        <v>1978812</v>
      </c>
      <c r="M45" s="3" t="n">
        <v>294142</v>
      </c>
      <c r="N45" s="3" t="n">
        <v>293317</v>
      </c>
      <c r="O45" s="3" t="n">
        <v>825</v>
      </c>
      <c r="P45" s="3" t="n">
        <v>2398.56</v>
      </c>
      <c r="Q45" s="3" t="s">
        <v>91</v>
      </c>
    </row>
    <row r="46" customFormat="false" ht="14.65" hidden="false" customHeight="false" outlineLevel="0" collapsed="false">
      <c r="A46" s="5" t="s">
        <v>53</v>
      </c>
      <c r="B46" s="2" t="n">
        <v>24221</v>
      </c>
      <c r="C46" s="2" t="n">
        <v>25060</v>
      </c>
      <c r="D46" s="2" t="n">
        <v>24.44</v>
      </c>
      <c r="E46" s="2" t="n">
        <v>2.63</v>
      </c>
      <c r="F46" s="2" t="n">
        <v>0.466</v>
      </c>
      <c r="G46" s="2" t="n">
        <v>1.481</v>
      </c>
      <c r="H46" s="2" t="n">
        <v>208.36</v>
      </c>
      <c r="I46" s="2" t="n">
        <v>1770</v>
      </c>
      <c r="J46" s="2" t="n">
        <v>84904</v>
      </c>
      <c r="K46" s="2" t="n">
        <v>20.8470743427872</v>
      </c>
      <c r="L46" s="3" t="n">
        <v>230994</v>
      </c>
      <c r="M46" s="3" t="n">
        <v>40508</v>
      </c>
      <c r="N46" s="3" t="n">
        <v>43270</v>
      </c>
      <c r="O46" s="3" t="n">
        <v>-2762</v>
      </c>
      <c r="P46" s="3" t="n">
        <v>-83.6328747284576</v>
      </c>
      <c r="Q46" s="3" t="s">
        <v>96</v>
      </c>
    </row>
    <row r="47" customFormat="false" ht="14.65" hidden="false" customHeight="false" outlineLevel="0" collapsed="false">
      <c r="A47" s="4" t="s">
        <v>54</v>
      </c>
      <c r="B47" s="2" t="n">
        <v>24989</v>
      </c>
      <c r="C47" s="2" t="n">
        <v>25253</v>
      </c>
      <c r="D47" s="2" t="n">
        <v>32.83</v>
      </c>
      <c r="E47" s="2" t="n">
        <v>2.13</v>
      </c>
      <c r="F47" s="2" t="n">
        <v>0.491</v>
      </c>
      <c r="G47" s="2" t="n">
        <v>0.82</v>
      </c>
      <c r="H47" s="2" t="n">
        <v>263.2</v>
      </c>
      <c r="I47" s="2" t="n">
        <v>567</v>
      </c>
      <c r="J47" s="2" t="n">
        <v>9615</v>
      </c>
      <c r="K47" s="2" t="n">
        <v>58.9703588143526</v>
      </c>
      <c r="L47" s="3" t="n">
        <v>109862</v>
      </c>
      <c r="M47" s="3" t="n">
        <v>14166</v>
      </c>
      <c r="N47" s="3" t="n">
        <v>14145</v>
      </c>
      <c r="O47" s="3" t="n">
        <v>21</v>
      </c>
      <c r="P47" s="3" t="n">
        <v>5231.52380952381</v>
      </c>
      <c r="Q47" s="3" t="s">
        <v>91</v>
      </c>
    </row>
    <row r="48" customFormat="false" ht="14.65" hidden="false" customHeight="false" outlineLevel="0" collapsed="false">
      <c r="A48" s="4" t="s">
        <v>55</v>
      </c>
      <c r="B48" s="2" t="n">
        <v>29028</v>
      </c>
      <c r="C48" s="2" t="n">
        <v>29528</v>
      </c>
      <c r="D48" s="2" t="n">
        <v>25.33</v>
      </c>
      <c r="E48" s="2" t="n">
        <v>2.72</v>
      </c>
      <c r="F48" s="2" t="n">
        <v>0.495</v>
      </c>
      <c r="G48" s="2" t="n">
        <v>0.795</v>
      </c>
      <c r="H48" s="2" t="n">
        <v>269.71</v>
      </c>
      <c r="I48" s="2" t="n">
        <v>6286</v>
      </c>
      <c r="J48" s="2" t="n">
        <v>42769</v>
      </c>
      <c r="K48" s="2" t="n">
        <v>146.975613177769</v>
      </c>
      <c r="L48" s="3" t="n">
        <v>625766</v>
      </c>
      <c r="M48" s="3" t="n">
        <v>68429</v>
      </c>
      <c r="N48" s="3" t="n">
        <v>68429</v>
      </c>
      <c r="O48" s="3" t="n">
        <v>0</v>
      </c>
      <c r="P48" s="3" t="s">
        <v>20</v>
      </c>
      <c r="Q48" s="3" t="s">
        <v>96</v>
      </c>
    </row>
    <row r="49" customFormat="false" ht="14.65" hidden="false" customHeight="false" outlineLevel="0" collapsed="false">
      <c r="A49" s="4" t="s">
        <v>56</v>
      </c>
      <c r="B49" s="2" t="n">
        <v>29721</v>
      </c>
      <c r="C49" s="2" t="n">
        <v>30132</v>
      </c>
      <c r="D49" s="2" t="n">
        <v>28.29</v>
      </c>
      <c r="E49" s="2" t="n">
        <v>2.37</v>
      </c>
      <c r="F49" s="2" t="n">
        <v>0.524</v>
      </c>
      <c r="G49" s="2" t="n">
        <v>0.976</v>
      </c>
      <c r="H49" s="2" t="n">
        <v>306.82</v>
      </c>
      <c r="I49" s="2" t="n">
        <v>5018</v>
      </c>
      <c r="J49" s="2" t="n">
        <v>71303</v>
      </c>
      <c r="K49" s="2" t="n">
        <v>70.3757205166683</v>
      </c>
      <c r="L49" s="3" t="n">
        <v>676259</v>
      </c>
      <c r="M49" s="3" t="n">
        <v>79428</v>
      </c>
      <c r="N49" s="3" t="n">
        <v>79413</v>
      </c>
      <c r="O49" s="3" t="n">
        <v>15</v>
      </c>
      <c r="P49" s="3" t="n">
        <v>45083.9333333333</v>
      </c>
      <c r="Q49" s="3" t="s">
        <v>91</v>
      </c>
    </row>
    <row r="50" customFormat="false" ht="14.65" hidden="false" customHeight="false" outlineLevel="0" collapsed="false">
      <c r="A50" s="5" t="s">
        <v>57</v>
      </c>
      <c r="B50" s="2" t="n">
        <v>23614</v>
      </c>
      <c r="C50" s="2" t="n">
        <v>23939</v>
      </c>
      <c r="D50" s="2" t="n">
        <v>26.51</v>
      </c>
      <c r="E50" s="2" t="n">
        <v>3.04</v>
      </c>
      <c r="F50" s="2" t="n">
        <v>0.535</v>
      </c>
      <c r="G50" s="2" t="n">
        <v>0.961</v>
      </c>
      <c r="H50" s="2" t="n">
        <v>305.65</v>
      </c>
      <c r="I50" s="2" t="n">
        <v>1801</v>
      </c>
      <c r="J50" s="2" t="n">
        <v>24231</v>
      </c>
      <c r="K50" s="2" t="n">
        <v>74.3262762576864</v>
      </c>
      <c r="L50" s="3" t="n">
        <v>467439</v>
      </c>
      <c r="M50" s="3" t="n">
        <v>35045</v>
      </c>
      <c r="N50" s="3" t="n">
        <v>34919</v>
      </c>
      <c r="O50" s="3" t="n">
        <v>126</v>
      </c>
      <c r="P50" s="3" t="n">
        <v>3709.83333333333</v>
      </c>
      <c r="Q50" s="3" t="s">
        <v>94</v>
      </c>
    </row>
    <row r="51" customFormat="false" ht="14.65" hidden="false" customHeight="false" outlineLevel="0" collapsed="false">
      <c r="A51" s="4" t="s">
        <v>58</v>
      </c>
      <c r="B51" s="2" t="n">
        <v>27228</v>
      </c>
      <c r="C51" s="2" t="n">
        <v>27826</v>
      </c>
      <c r="D51" s="2" t="n">
        <v>2.08</v>
      </c>
      <c r="E51" s="2" t="n">
        <v>1.65</v>
      </c>
      <c r="F51" s="2" t="n">
        <v>0.44</v>
      </c>
      <c r="G51" s="2" t="n">
        <v>1.083</v>
      </c>
      <c r="H51" s="2" t="n">
        <v>171.78</v>
      </c>
      <c r="I51" s="2" t="n">
        <v>4955</v>
      </c>
      <c r="J51" s="2" t="n">
        <v>65503</v>
      </c>
      <c r="K51" s="2" t="n">
        <v>75.6453902874678</v>
      </c>
      <c r="L51" s="3" t="n">
        <v>650001</v>
      </c>
      <c r="M51" s="3" t="n">
        <v>110978</v>
      </c>
      <c r="N51" s="3" t="n">
        <v>110371</v>
      </c>
      <c r="O51" s="3" t="n">
        <v>607</v>
      </c>
      <c r="P51" s="3" t="n">
        <v>1070.84184514003</v>
      </c>
      <c r="Q51" s="3" t="s">
        <v>91</v>
      </c>
    </row>
    <row r="52" customFormat="false" ht="14.65" hidden="false" customHeight="false" outlineLevel="0" collapsed="false">
      <c r="A52" s="4" t="s">
        <v>59</v>
      </c>
      <c r="B52" s="2" t="n">
        <v>23275</v>
      </c>
      <c r="C52" s="2" t="n">
        <v>23522</v>
      </c>
      <c r="D52" s="2" t="n">
        <v>18.08</v>
      </c>
      <c r="E52" s="2" t="n">
        <v>1.26</v>
      </c>
      <c r="F52" s="2" t="n">
        <v>0.555</v>
      </c>
      <c r="G52" s="2" t="n">
        <v>0.555</v>
      </c>
      <c r="H52" s="2" t="n">
        <v>268</v>
      </c>
      <c r="I52" s="2" t="n">
        <v>460</v>
      </c>
      <c r="J52" s="2" t="n">
        <v>97818</v>
      </c>
      <c r="K52" s="2" t="n">
        <v>4.70261097139586</v>
      </c>
      <c r="L52" s="3" t="n">
        <v>158786</v>
      </c>
      <c r="M52" s="3" t="n">
        <v>37642</v>
      </c>
      <c r="N52" s="3" t="n">
        <v>39022</v>
      </c>
      <c r="O52" s="3" t="n">
        <v>-1380</v>
      </c>
      <c r="P52" s="3" t="n">
        <v>-115.06231884058</v>
      </c>
      <c r="Q52" s="3" t="s">
        <v>93</v>
      </c>
    </row>
    <row r="53" customFormat="false" ht="14.65" hidden="false" customHeight="false" outlineLevel="0" collapsed="false">
      <c r="A53" s="5" t="s">
        <v>60</v>
      </c>
      <c r="B53" s="2"/>
      <c r="C53" s="2"/>
      <c r="D53" s="2"/>
      <c r="E53" s="2"/>
      <c r="F53" s="2"/>
      <c r="G53" s="2"/>
      <c r="H53" s="2"/>
      <c r="I53" s="2"/>
      <c r="J53" s="2"/>
      <c r="K53" s="2"/>
      <c r="M53" s="3" t="n">
        <v>0</v>
      </c>
      <c r="O53" s="3" t="n">
        <v>0</v>
      </c>
    </row>
    <row r="54" customFormat="false" ht="14.65" hidden="false" customHeight="false" outlineLevel="0" collapsed="false">
      <c r="A54" s="6" t="s">
        <v>61</v>
      </c>
      <c r="B54" s="2"/>
      <c r="C54" s="2"/>
      <c r="D54" s="2" t="n">
        <v>18.81</v>
      </c>
      <c r="E54" s="2" t="n">
        <v>2.5</v>
      </c>
      <c r="F54" s="2" t="n">
        <v>0.467</v>
      </c>
      <c r="G54" s="2" t="n">
        <v>0.861</v>
      </c>
      <c r="H54" s="2" t="n">
        <v>261.89</v>
      </c>
      <c r="I54" s="2" t="n">
        <v>252181</v>
      </c>
      <c r="J54" s="2" t="n">
        <v>3717528</v>
      </c>
      <c r="K54" s="2" t="n">
        <v>67.8356692942192</v>
      </c>
      <c r="L54" s="3" t="n">
        <v>28233871</v>
      </c>
      <c r="M54" s="3" t="n">
        <v>3904721</v>
      </c>
      <c r="N54" s="3" t="n">
        <v>3901715</v>
      </c>
      <c r="O54" s="3" t="n">
        <v>3006</v>
      </c>
    </row>
    <row r="56" customFormat="false" ht="14.65" hidden="false" customHeight="false" outlineLevel="0" collapsed="false">
      <c r="A56" s="3" t="s">
        <v>62</v>
      </c>
    </row>
    <row r="57" customFormat="false" ht="14.65" hidden="false" customHeight="false" outlineLevel="0" collapsed="false">
      <c r="A57" s="3" t="s">
        <v>63</v>
      </c>
    </row>
    <row r="58" customFormat="false" ht="14.65" hidden="false" customHeight="false" outlineLevel="0" collapsed="false">
      <c r="A58" s="3" t="s">
        <v>64</v>
      </c>
    </row>
    <row r="59" customFormat="false" ht="14.65" hidden="false" customHeight="false" outlineLevel="0" collapsed="false">
      <c r="A59" s="3" t="s">
        <v>65</v>
      </c>
    </row>
    <row r="62" customFormat="false" ht="14.65" hidden="false" customHeight="false" outlineLevel="0" collapsed="false">
      <c r="A62" s="3" t="s">
        <v>66</v>
      </c>
    </row>
    <row r="63" customFormat="false" ht="14.65" hidden="false" customHeight="false" outlineLevel="0" collapsed="false">
      <c r="A63" s="3" t="s">
        <v>67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52 A1:L52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1" min="1" style="7" width="1.56"/>
    <col collapsed="false" customWidth="true" hidden="false" outlineLevel="0" max="2" min="2" style="7" width="13.99"/>
    <col collapsed="false" customWidth="true" hidden="false" outlineLevel="0" max="3" min="3" style="7" width="1.28"/>
    <col collapsed="false" customWidth="true" hidden="false" outlineLevel="0" max="4" min="4" style="7" width="6.42"/>
    <col collapsed="false" customWidth="true" hidden="false" outlineLevel="0" max="11" min="5" style="7" width="10.71"/>
    <col collapsed="false" customWidth="true" hidden="false" outlineLevel="0" max="12" min="12" style="7" width="12.85"/>
  </cols>
  <sheetData>
    <row r="1" customFormat="false" ht="14.65" hidden="false" customHeight="false" outlineLevel="0" collapsed="false">
      <c r="B1" s="7" t="s">
        <v>108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114</v>
      </c>
      <c r="J1" s="7" t="s">
        <v>115</v>
      </c>
      <c r="K1" s="7" t="s">
        <v>116</v>
      </c>
      <c r="L1" s="7" t="s">
        <v>117</v>
      </c>
    </row>
    <row r="2" customFormat="false" ht="14.65" hidden="false" customHeight="false" outlineLevel="0" collapsed="false">
      <c r="A2" s="7" t="s">
        <v>118</v>
      </c>
      <c r="B2" s="7" t="s">
        <v>119</v>
      </c>
      <c r="C2" s="7" t="s">
        <v>118</v>
      </c>
      <c r="D2" s="7" t="n">
        <v>1988</v>
      </c>
      <c r="E2" s="7" t="n">
        <v>8905.74</v>
      </c>
      <c r="F2" s="7" t="n">
        <v>53547</v>
      </c>
      <c r="G2" s="7" t="n">
        <v>20204.46</v>
      </c>
      <c r="H2" s="7" t="n">
        <v>66008.17</v>
      </c>
      <c r="I2" s="7" t="n">
        <v>52423</v>
      </c>
      <c r="J2" s="7" t="n">
        <v>41714000</v>
      </c>
      <c r="K2" s="7" t="n">
        <v>470000000</v>
      </c>
      <c r="L2" s="7" t="n">
        <v>342000000</v>
      </c>
    </row>
    <row r="3" customFormat="false" ht="14.65" hidden="false" customHeight="false" outlineLevel="0" collapsed="false">
      <c r="A3" s="7" t="s">
        <v>118</v>
      </c>
      <c r="B3" s="7" t="s">
        <v>120</v>
      </c>
      <c r="C3" s="7" t="s">
        <v>118</v>
      </c>
      <c r="D3" s="7" t="n">
        <v>1988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</row>
    <row r="4" customFormat="false" ht="14.65" hidden="false" customHeight="false" outlineLevel="0" collapsed="false">
      <c r="A4" s="7" t="s">
        <v>118</v>
      </c>
      <c r="B4" s="7" t="s">
        <v>121</v>
      </c>
      <c r="C4" s="7" t="s">
        <v>118</v>
      </c>
      <c r="D4" s="7" t="n">
        <v>1988</v>
      </c>
      <c r="E4" s="7" t="n">
        <v>7955.02</v>
      </c>
      <c r="F4" s="7" t="n">
        <v>50630</v>
      </c>
      <c r="G4" s="7" t="n">
        <v>23693.97</v>
      </c>
      <c r="H4" s="7" t="n">
        <v>48932.84</v>
      </c>
      <c r="I4" s="7" t="n">
        <v>114006</v>
      </c>
      <c r="J4" s="7" t="n">
        <v>216000000</v>
      </c>
      <c r="K4" s="7" t="n">
        <v>1070000000</v>
      </c>
      <c r="L4" s="7" t="n">
        <v>199000000</v>
      </c>
    </row>
    <row r="5" customFormat="false" ht="14.65" hidden="false" customHeight="false" outlineLevel="0" collapsed="false">
      <c r="A5" s="7" t="s">
        <v>118</v>
      </c>
      <c r="B5" s="7" t="s">
        <v>122</v>
      </c>
      <c r="C5" s="7" t="s">
        <v>118</v>
      </c>
      <c r="D5" s="7" t="n">
        <v>1988</v>
      </c>
      <c r="E5" s="7" t="n">
        <v>4829.36</v>
      </c>
      <c r="F5" s="7" t="n">
        <v>29802</v>
      </c>
      <c r="G5" s="7" t="n">
        <v>10411.96</v>
      </c>
      <c r="H5" s="7" t="n">
        <v>34924.26</v>
      </c>
      <c r="I5" s="7" t="n">
        <v>53182</v>
      </c>
      <c r="J5" s="7" t="n">
        <v>11366000</v>
      </c>
      <c r="K5" s="7" t="n">
        <v>307000000</v>
      </c>
      <c r="L5" s="7" t="n">
        <v>197000000</v>
      </c>
    </row>
    <row r="6" customFormat="false" ht="14.65" hidden="false" customHeight="false" outlineLevel="0" collapsed="false">
      <c r="A6" s="7" t="s">
        <v>118</v>
      </c>
      <c r="B6" s="7" t="s">
        <v>123</v>
      </c>
      <c r="C6" s="7" t="s">
        <v>118</v>
      </c>
      <c r="D6" s="7" t="n">
        <v>1988</v>
      </c>
      <c r="E6" s="7" t="n">
        <v>42835.42</v>
      </c>
      <c r="F6" s="7" t="n">
        <v>528674</v>
      </c>
      <c r="G6" s="7" t="n">
        <v>145321.6</v>
      </c>
      <c r="H6" s="7" t="n">
        <v>400653.1</v>
      </c>
      <c r="I6" s="7" t="n">
        <v>163707</v>
      </c>
      <c r="J6" s="7" t="n">
        <v>244000000</v>
      </c>
      <c r="K6" s="7" t="n">
        <v>2220000000</v>
      </c>
      <c r="L6" s="7" t="n">
        <v>1560000000</v>
      </c>
    </row>
    <row r="7" customFormat="false" ht="14.65" hidden="false" customHeight="false" outlineLevel="0" collapsed="false">
      <c r="A7" s="7" t="s">
        <v>118</v>
      </c>
      <c r="B7" s="7" t="s">
        <v>124</v>
      </c>
      <c r="C7" s="7" t="s">
        <v>118</v>
      </c>
      <c r="D7" s="7" t="n">
        <v>1988</v>
      </c>
      <c r="E7" s="7" t="n">
        <v>6574.39</v>
      </c>
      <c r="F7" s="7" t="n">
        <v>52117</v>
      </c>
      <c r="G7" s="7" t="n">
        <v>20639.31</v>
      </c>
      <c r="H7" s="7" t="n">
        <v>51304.57</v>
      </c>
      <c r="I7" s="7" t="n">
        <v>104100</v>
      </c>
      <c r="J7" s="7" t="n">
        <v>34119000</v>
      </c>
      <c r="K7" s="7" t="n">
        <v>536000000</v>
      </c>
      <c r="L7" s="7" t="n">
        <v>312000000</v>
      </c>
    </row>
    <row r="8" customFormat="false" ht="14.65" hidden="false" customHeight="false" outlineLevel="0" collapsed="false">
      <c r="A8" s="7" t="s">
        <v>118</v>
      </c>
      <c r="B8" s="7" t="s">
        <v>125</v>
      </c>
      <c r="C8" s="7" t="s">
        <v>118</v>
      </c>
      <c r="D8" s="7" t="n">
        <v>1988</v>
      </c>
      <c r="E8" s="7" t="n">
        <v>7236.71</v>
      </c>
      <c r="F8" s="7" t="n">
        <v>70125</v>
      </c>
      <c r="G8" s="7" t="n">
        <v>17871.09</v>
      </c>
      <c r="H8" s="7" t="n">
        <v>46318.68</v>
      </c>
      <c r="I8" s="7" t="n">
        <v>5544</v>
      </c>
      <c r="J8" s="7" t="n">
        <v>20418000</v>
      </c>
      <c r="K8" s="7" t="n">
        <v>537000000</v>
      </c>
      <c r="L8" s="7" t="n">
        <v>259000000</v>
      </c>
    </row>
    <row r="9" customFormat="false" ht="14.65" hidden="false" customHeight="false" outlineLevel="0" collapsed="false">
      <c r="A9" s="7" t="s">
        <v>118</v>
      </c>
      <c r="B9" s="7" t="s">
        <v>126</v>
      </c>
      <c r="C9" s="7" t="s">
        <v>118</v>
      </c>
      <c r="D9" s="7" t="n">
        <v>1988</v>
      </c>
      <c r="E9" s="7" t="n">
        <v>2112.78</v>
      </c>
      <c r="F9" s="7" t="n">
        <v>11427</v>
      </c>
      <c r="G9" s="7" t="n">
        <v>4681.46</v>
      </c>
      <c r="H9" s="7" t="n">
        <v>12209.28</v>
      </c>
      <c r="I9" s="7" t="n">
        <v>2489</v>
      </c>
      <c r="J9" s="7" t="n">
        <v>22363000</v>
      </c>
      <c r="K9" s="7" t="n">
        <v>157000000</v>
      </c>
      <c r="L9" s="7" t="n">
        <v>49904000</v>
      </c>
    </row>
    <row r="10" customFormat="false" ht="14.65" hidden="false" customHeight="false" outlineLevel="0" collapsed="false">
      <c r="A10" s="7" t="s">
        <v>118</v>
      </c>
      <c r="B10" s="7" t="s">
        <v>127</v>
      </c>
      <c r="C10" s="7" t="s">
        <v>118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customFormat="false" ht="14.65" hidden="false" customHeight="false" outlineLevel="0" collapsed="false">
      <c r="A11" s="7" t="s">
        <v>118</v>
      </c>
      <c r="B11" s="7" t="s">
        <v>128</v>
      </c>
      <c r="C11" s="7" t="s">
        <v>118</v>
      </c>
      <c r="D11" s="7" t="n">
        <v>1988</v>
      </c>
      <c r="E11" s="7" t="n">
        <v>19987.9</v>
      </c>
      <c r="F11" s="7" t="n">
        <v>170213</v>
      </c>
      <c r="G11" s="7" t="n">
        <v>59950.37</v>
      </c>
      <c r="H11" s="7" t="n">
        <v>154057.4</v>
      </c>
      <c r="I11" s="7" t="n">
        <v>65758</v>
      </c>
      <c r="J11" s="7" t="n">
        <v>247000000</v>
      </c>
      <c r="K11" s="7" t="n">
        <v>1880000000</v>
      </c>
      <c r="L11" s="7" t="n">
        <v>801000000</v>
      </c>
    </row>
    <row r="12" customFormat="false" ht="14.65" hidden="false" customHeight="false" outlineLevel="0" collapsed="false">
      <c r="A12" s="7" t="s">
        <v>118</v>
      </c>
      <c r="B12" s="7" t="s">
        <v>129</v>
      </c>
      <c r="C12" s="7" t="s">
        <v>118</v>
      </c>
      <c r="D12" s="7" t="n">
        <v>1988</v>
      </c>
      <c r="E12" s="7" t="n">
        <v>12440.08</v>
      </c>
      <c r="F12" s="7" t="n">
        <v>99059</v>
      </c>
      <c r="G12" s="7" t="n">
        <v>34290.46</v>
      </c>
      <c r="H12" s="7" t="n">
        <v>93342.2</v>
      </c>
      <c r="I12" s="7" t="n">
        <v>59441</v>
      </c>
      <c r="J12" s="7" t="n">
        <v>77468000</v>
      </c>
      <c r="K12" s="7" t="n">
        <v>741000000</v>
      </c>
      <c r="L12" s="7" t="n">
        <v>530000000</v>
      </c>
    </row>
    <row r="13" customFormat="false" ht="14.65" hidden="false" customHeight="false" outlineLevel="0" collapsed="false">
      <c r="A13" s="7" t="s">
        <v>118</v>
      </c>
      <c r="B13" s="7" t="s">
        <v>130</v>
      </c>
      <c r="C13" s="7" t="s">
        <v>118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</row>
    <row r="14" customFormat="false" ht="14.65" hidden="false" customHeight="false" outlineLevel="0" collapsed="false">
      <c r="A14" s="7" t="s">
        <v>118</v>
      </c>
      <c r="B14" s="7" t="s">
        <v>131</v>
      </c>
      <c r="C14" s="7" t="s">
        <v>118</v>
      </c>
      <c r="D14" s="7" t="n">
        <v>1988</v>
      </c>
      <c r="E14" s="7" t="n">
        <v>3010.18</v>
      </c>
      <c r="F14" s="7" t="n">
        <v>12432</v>
      </c>
      <c r="G14" s="7" t="n">
        <v>5118.46</v>
      </c>
      <c r="H14" s="7" t="n">
        <v>14216.9</v>
      </c>
      <c r="I14" s="7" t="n">
        <v>83574</v>
      </c>
      <c r="J14" s="7" t="n">
        <v>5106000</v>
      </c>
      <c r="K14" s="7" t="n">
        <v>186000000</v>
      </c>
      <c r="L14" s="7" t="n">
        <v>116000000</v>
      </c>
    </row>
    <row r="15" customFormat="false" ht="14.65" hidden="false" customHeight="false" outlineLevel="0" collapsed="false">
      <c r="A15" s="7" t="s">
        <v>118</v>
      </c>
      <c r="B15" s="7" t="s">
        <v>132</v>
      </c>
      <c r="C15" s="7" t="s">
        <v>118</v>
      </c>
      <c r="D15" s="7" t="n">
        <v>1988</v>
      </c>
      <c r="E15" s="7" t="n">
        <v>28835.59</v>
      </c>
      <c r="F15" s="7" t="n">
        <v>200874</v>
      </c>
      <c r="G15" s="7" t="n">
        <v>66247.07</v>
      </c>
      <c r="H15" s="7" t="n">
        <v>179351</v>
      </c>
      <c r="I15" s="7" t="n">
        <v>57918</v>
      </c>
      <c r="J15" s="7" t="n">
        <v>45186000</v>
      </c>
      <c r="K15" s="7" t="n">
        <v>1580000000</v>
      </c>
      <c r="L15" s="7" t="n">
        <v>810000000</v>
      </c>
    </row>
    <row r="16" customFormat="false" ht="14.65" hidden="false" customHeight="false" outlineLevel="0" collapsed="false">
      <c r="A16" s="7" t="s">
        <v>118</v>
      </c>
      <c r="B16" s="7" t="s">
        <v>133</v>
      </c>
      <c r="C16" s="7" t="s">
        <v>118</v>
      </c>
      <c r="D16" s="7" t="n">
        <v>1988</v>
      </c>
      <c r="E16" s="7" t="n">
        <v>10713.72</v>
      </c>
      <c r="F16" s="7" t="n">
        <v>82918</v>
      </c>
      <c r="G16" s="7" t="n">
        <v>25296.76</v>
      </c>
      <c r="H16" s="7" t="n">
        <v>93894.82</v>
      </c>
      <c r="I16" s="7" t="n">
        <v>36420</v>
      </c>
      <c r="J16" s="7" t="n">
        <v>15829000</v>
      </c>
      <c r="K16" s="7" t="n">
        <v>538000000</v>
      </c>
      <c r="L16" s="7" t="n">
        <v>413000000</v>
      </c>
    </row>
    <row r="17" customFormat="false" ht="14.65" hidden="false" customHeight="false" outlineLevel="0" collapsed="false">
      <c r="A17" s="7" t="s">
        <v>118</v>
      </c>
      <c r="B17" s="7" t="s">
        <v>134</v>
      </c>
      <c r="C17" s="7" t="s">
        <v>118</v>
      </c>
      <c r="D17" s="7" t="n">
        <v>1988</v>
      </c>
      <c r="E17" s="7" t="n">
        <v>10535.56</v>
      </c>
      <c r="F17" s="7" t="n">
        <v>40546</v>
      </c>
      <c r="G17" s="7" t="n">
        <v>18590.01</v>
      </c>
      <c r="H17" s="7" t="n">
        <v>45936.2</v>
      </c>
      <c r="I17" s="7" t="n">
        <v>56276</v>
      </c>
      <c r="J17" s="7" t="n">
        <v>14834000</v>
      </c>
      <c r="K17" s="7" t="n">
        <v>451000000</v>
      </c>
      <c r="L17" s="7" t="n">
        <v>357000000</v>
      </c>
    </row>
    <row r="18" customFormat="false" ht="14.65" hidden="false" customHeight="false" outlineLevel="0" collapsed="false">
      <c r="A18" s="7" t="s">
        <v>118</v>
      </c>
      <c r="B18" s="7" t="s">
        <v>135</v>
      </c>
      <c r="C18" s="7" t="s">
        <v>118</v>
      </c>
      <c r="D18" s="7" t="n">
        <v>1988</v>
      </c>
      <c r="E18" s="7" t="n">
        <v>7667.17</v>
      </c>
      <c r="F18" s="7" t="n">
        <v>39640</v>
      </c>
      <c r="G18" s="7" t="n">
        <v>15429.52</v>
      </c>
      <c r="H18" s="7" t="n">
        <v>52841.45</v>
      </c>
      <c r="I18" s="7" t="n">
        <v>82282</v>
      </c>
      <c r="J18" s="7" t="n">
        <v>5351000</v>
      </c>
      <c r="K18" s="7" t="n">
        <v>324000000</v>
      </c>
      <c r="L18" s="7" t="n">
        <v>334000000</v>
      </c>
    </row>
    <row r="19" customFormat="false" ht="14.65" hidden="false" customHeight="false" outlineLevel="0" collapsed="false">
      <c r="A19" s="7" t="s">
        <v>118</v>
      </c>
      <c r="B19" s="7" t="s">
        <v>136</v>
      </c>
      <c r="C19" s="7" t="s">
        <v>118</v>
      </c>
      <c r="D19" s="7" t="n">
        <v>1988</v>
      </c>
      <c r="E19" s="7" t="n">
        <v>12137.85</v>
      </c>
      <c r="F19" s="7" t="n">
        <v>52388</v>
      </c>
      <c r="G19" s="7" t="n">
        <v>21031.07</v>
      </c>
      <c r="H19" s="7" t="n">
        <v>55668.5</v>
      </c>
      <c r="I19" s="7" t="n">
        <v>40411</v>
      </c>
      <c r="J19" s="7" t="n">
        <v>29127000</v>
      </c>
      <c r="K19" s="7" t="n">
        <v>643000000</v>
      </c>
      <c r="L19" s="7" t="n">
        <v>222000000</v>
      </c>
    </row>
    <row r="20" customFormat="false" ht="14.65" hidden="false" customHeight="false" outlineLevel="0" collapsed="false">
      <c r="A20" s="7" t="s">
        <v>118</v>
      </c>
      <c r="B20" s="7" t="s">
        <v>137</v>
      </c>
      <c r="C20" s="7" t="s">
        <v>118</v>
      </c>
      <c r="D20" s="7" t="n">
        <v>1988</v>
      </c>
      <c r="E20" s="7" t="n">
        <v>13572.38</v>
      </c>
      <c r="F20" s="7" t="n">
        <v>72105</v>
      </c>
      <c r="G20" s="7" t="n">
        <v>27147.89</v>
      </c>
      <c r="H20" s="7" t="n">
        <v>129066.9</v>
      </c>
      <c r="I20" s="7" t="n">
        <v>51843</v>
      </c>
      <c r="J20" s="7" t="n">
        <v>64882000</v>
      </c>
      <c r="K20" s="7" t="n">
        <v>591000000</v>
      </c>
      <c r="L20" s="7" t="n">
        <v>188000000</v>
      </c>
    </row>
    <row r="21" customFormat="false" ht="14.65" hidden="false" customHeight="false" outlineLevel="0" collapsed="false">
      <c r="A21" s="7" t="s">
        <v>118</v>
      </c>
      <c r="B21" s="7" t="s">
        <v>138</v>
      </c>
      <c r="C21" s="7" t="s">
        <v>118</v>
      </c>
      <c r="D21" s="7" t="n">
        <v>1988</v>
      </c>
      <c r="E21" s="7" t="n">
        <v>2547.35</v>
      </c>
      <c r="F21" s="7" t="n">
        <v>17896</v>
      </c>
      <c r="G21" s="7" t="n">
        <v>5147.52</v>
      </c>
      <c r="H21" s="7" t="n">
        <v>15292.81</v>
      </c>
      <c r="I21" s="7" t="n">
        <v>35387</v>
      </c>
      <c r="J21" s="7" t="n">
        <v>2722000</v>
      </c>
      <c r="K21" s="7" t="n">
        <v>117000000</v>
      </c>
      <c r="L21" s="7" t="n">
        <v>176000000</v>
      </c>
    </row>
    <row r="22" customFormat="false" ht="14.65" hidden="false" customHeight="false" outlineLevel="0" collapsed="false">
      <c r="A22" s="7" t="s">
        <v>118</v>
      </c>
      <c r="B22" s="7" t="s">
        <v>139</v>
      </c>
      <c r="C22" s="7" t="s">
        <v>118</v>
      </c>
      <c r="D22" s="7" t="n">
        <v>1988</v>
      </c>
      <c r="E22" s="7" t="n">
        <v>11768.02</v>
      </c>
      <c r="F22" s="7" t="n">
        <v>73671</v>
      </c>
      <c r="G22" s="7" t="n">
        <v>31062.85</v>
      </c>
      <c r="H22" s="7" t="n">
        <v>56167.54</v>
      </c>
      <c r="I22" s="7" t="n">
        <v>12407</v>
      </c>
      <c r="J22" s="7" t="n">
        <v>105000000</v>
      </c>
      <c r="K22" s="7" t="n">
        <v>1020000000</v>
      </c>
      <c r="L22" s="7" t="n">
        <v>296000000</v>
      </c>
    </row>
    <row r="23" customFormat="false" ht="14.65" hidden="false" customHeight="false" outlineLevel="0" collapsed="false">
      <c r="A23" s="7" t="s">
        <v>118</v>
      </c>
      <c r="B23" s="7" t="s">
        <v>140</v>
      </c>
      <c r="C23" s="7" t="s">
        <v>118</v>
      </c>
      <c r="D23" s="7" t="n">
        <v>1988</v>
      </c>
      <c r="E23" s="7" t="n">
        <v>9194.59</v>
      </c>
      <c r="F23" s="7" t="n">
        <v>116523</v>
      </c>
      <c r="G23" s="7" t="n">
        <v>32265.09</v>
      </c>
      <c r="H23" s="7" t="n">
        <v>80736.98</v>
      </c>
      <c r="I23" s="7" t="n">
        <v>10555</v>
      </c>
      <c r="J23" s="7" t="n">
        <v>48478000</v>
      </c>
      <c r="K23" s="7" t="n">
        <v>857000000</v>
      </c>
      <c r="L23" s="7" t="n">
        <v>400000000</v>
      </c>
    </row>
    <row r="24" customFormat="false" ht="14.65" hidden="false" customHeight="false" outlineLevel="0" collapsed="false">
      <c r="A24" s="7" t="s">
        <v>118</v>
      </c>
      <c r="B24" s="7" t="s">
        <v>141</v>
      </c>
      <c r="C24" s="7" t="s">
        <v>118</v>
      </c>
      <c r="D24" s="7" t="n">
        <v>1988</v>
      </c>
      <c r="E24" s="7" t="n">
        <v>18795.61</v>
      </c>
      <c r="F24" s="7" t="n">
        <v>145444</v>
      </c>
      <c r="G24" s="7" t="n">
        <v>49760.76</v>
      </c>
      <c r="H24" s="7" t="n">
        <v>137614.7</v>
      </c>
      <c r="I24" s="7" t="n">
        <v>96810</v>
      </c>
      <c r="J24" s="7" t="n">
        <v>27093000</v>
      </c>
      <c r="K24" s="7" t="n">
        <v>670000000</v>
      </c>
      <c r="L24" s="7" t="n">
        <v>741000000</v>
      </c>
    </row>
    <row r="25" customFormat="false" ht="14.65" hidden="false" customHeight="false" outlineLevel="0" collapsed="false">
      <c r="A25" s="7" t="s">
        <v>118</v>
      </c>
      <c r="B25" s="7" t="s">
        <v>142</v>
      </c>
      <c r="C25" s="7" t="s">
        <v>118</v>
      </c>
      <c r="D25" s="7" t="n">
        <v>1988</v>
      </c>
      <c r="E25" s="7" t="n">
        <v>13417.77</v>
      </c>
      <c r="F25" s="7" t="n">
        <v>73407</v>
      </c>
      <c r="G25" s="7" t="n">
        <v>30670.27</v>
      </c>
      <c r="H25" s="7" t="n">
        <v>66077.3</v>
      </c>
      <c r="I25" s="7" t="n">
        <v>86943</v>
      </c>
      <c r="J25" s="7" t="n">
        <v>50735000</v>
      </c>
      <c r="K25" s="7" t="n">
        <v>982000000</v>
      </c>
      <c r="L25" s="7" t="n">
        <v>493000000</v>
      </c>
    </row>
    <row r="26" customFormat="false" ht="14.65" hidden="false" customHeight="false" outlineLevel="0" collapsed="false">
      <c r="A26" s="7" t="s">
        <v>118</v>
      </c>
      <c r="B26" s="7" t="s">
        <v>143</v>
      </c>
      <c r="C26" s="7" t="s">
        <v>118</v>
      </c>
      <c r="D26" s="7" t="n">
        <v>1988</v>
      </c>
      <c r="E26" s="7" t="n">
        <v>6702.66</v>
      </c>
      <c r="F26" s="7" t="n">
        <v>31247</v>
      </c>
      <c r="G26" s="7" t="n">
        <v>12439.9</v>
      </c>
      <c r="H26" s="7" t="n">
        <v>35823.48</v>
      </c>
      <c r="I26" s="7" t="n">
        <v>48434</v>
      </c>
      <c r="J26" s="7" t="n">
        <v>16691000</v>
      </c>
      <c r="K26" s="7" t="n">
        <v>353000000</v>
      </c>
      <c r="L26" s="7" t="n">
        <v>241000000</v>
      </c>
    </row>
    <row r="27" customFormat="false" ht="14.65" hidden="false" customHeight="false" outlineLevel="0" collapsed="false">
      <c r="A27" s="7" t="s">
        <v>118</v>
      </c>
      <c r="B27" s="7" t="s">
        <v>144</v>
      </c>
      <c r="C27" s="7" t="s">
        <v>118</v>
      </c>
      <c r="D27" s="7" t="n">
        <v>1988</v>
      </c>
      <c r="E27" s="7" t="n">
        <v>11494.67</v>
      </c>
      <c r="F27" s="7" t="n">
        <v>77844</v>
      </c>
      <c r="G27" s="7" t="n">
        <v>24607.52</v>
      </c>
      <c r="H27" s="7" t="n">
        <v>75102.29</v>
      </c>
      <c r="I27" s="7" t="n">
        <v>69709</v>
      </c>
      <c r="J27" s="7" t="n">
        <v>24073000</v>
      </c>
      <c r="K27" s="7" t="n">
        <v>537000000</v>
      </c>
      <c r="L27" s="7" t="n">
        <v>424000000</v>
      </c>
    </row>
    <row r="28" customFormat="false" ht="14.65" hidden="false" customHeight="false" outlineLevel="0" collapsed="false">
      <c r="A28" s="7" t="s">
        <v>118</v>
      </c>
      <c r="B28" s="7" t="s">
        <v>145</v>
      </c>
      <c r="C28" s="7" t="s">
        <v>118</v>
      </c>
      <c r="D28" s="7" t="n">
        <v>1988</v>
      </c>
      <c r="E28" s="7" t="n">
        <v>4165.41</v>
      </c>
      <c r="F28" s="7" t="n">
        <v>10336</v>
      </c>
      <c r="G28" s="7" t="n">
        <v>6209.03</v>
      </c>
      <c r="H28" s="7" t="n">
        <v>19331.31</v>
      </c>
      <c r="I28" s="7" t="n">
        <v>147046</v>
      </c>
      <c r="J28" s="7" t="n">
        <v>12105000</v>
      </c>
      <c r="K28" s="7" t="n">
        <v>236000000</v>
      </c>
      <c r="L28" s="7" t="n">
        <v>75017000</v>
      </c>
    </row>
    <row r="29" customFormat="false" ht="14.65" hidden="false" customHeight="false" outlineLevel="0" collapsed="false">
      <c r="A29" s="7" t="s">
        <v>118</v>
      </c>
      <c r="B29" s="7" t="s">
        <v>146</v>
      </c>
      <c r="C29" s="7" t="s">
        <v>118</v>
      </c>
      <c r="D29" s="7" t="n">
        <v>1988</v>
      </c>
      <c r="E29" s="7" t="n">
        <v>5423.15</v>
      </c>
      <c r="F29" s="7" t="n">
        <v>23621</v>
      </c>
      <c r="G29" s="7" t="n">
        <v>14873.69</v>
      </c>
      <c r="H29" s="7" t="n">
        <v>29966.97</v>
      </c>
      <c r="I29" s="7" t="n">
        <v>77358</v>
      </c>
      <c r="J29" s="7" t="n">
        <v>9036000</v>
      </c>
      <c r="K29" s="7" t="n">
        <v>289000000</v>
      </c>
      <c r="L29" s="7" t="n">
        <v>160000000</v>
      </c>
    </row>
    <row r="30" customFormat="false" ht="14.65" hidden="false" customHeight="false" outlineLevel="0" collapsed="false">
      <c r="A30" s="7" t="s">
        <v>118</v>
      </c>
      <c r="B30" s="7" t="s">
        <v>147</v>
      </c>
      <c r="C30" s="7" t="s">
        <v>118</v>
      </c>
      <c r="D30" s="7" t="n">
        <v>1988</v>
      </c>
      <c r="E30" s="7" t="n">
        <v>2782.09</v>
      </c>
      <c r="F30" s="7" t="n">
        <v>19384</v>
      </c>
      <c r="G30" s="7" t="n">
        <v>6537.47</v>
      </c>
      <c r="H30" s="7" t="n">
        <v>25760.58</v>
      </c>
      <c r="I30" s="7" t="n">
        <v>110567</v>
      </c>
      <c r="J30" s="7" t="n">
        <v>12154000</v>
      </c>
      <c r="K30" s="7" t="n">
        <v>188000000</v>
      </c>
      <c r="L30" s="7" t="n">
        <v>76017000</v>
      </c>
    </row>
    <row r="31" customFormat="false" ht="14.65" hidden="false" customHeight="false" outlineLevel="0" collapsed="false">
      <c r="A31" s="7" t="s">
        <v>118</v>
      </c>
      <c r="B31" s="7" t="s">
        <v>148</v>
      </c>
      <c r="C31" s="7" t="s">
        <v>118</v>
      </c>
      <c r="D31" s="7" t="n">
        <v>1988</v>
      </c>
      <c r="E31" s="7" t="n">
        <v>2401.79</v>
      </c>
      <c r="F31" s="7" t="n">
        <v>20324</v>
      </c>
      <c r="G31" s="7" t="n">
        <v>4541.76</v>
      </c>
      <c r="H31" s="7" t="n">
        <v>13374.03</v>
      </c>
      <c r="I31" s="7" t="n">
        <v>9351</v>
      </c>
      <c r="J31" s="7" t="n">
        <v>12158000</v>
      </c>
      <c r="K31" s="7" t="n">
        <v>117000000</v>
      </c>
      <c r="L31" s="7" t="n">
        <v>146000000</v>
      </c>
    </row>
    <row r="32" customFormat="false" ht="14.65" hidden="false" customHeight="false" outlineLevel="0" collapsed="false">
      <c r="A32" s="7" t="s">
        <v>118</v>
      </c>
      <c r="B32" s="7" t="s">
        <v>149</v>
      </c>
      <c r="C32" s="7" t="s">
        <v>118</v>
      </c>
      <c r="D32" s="7" t="n">
        <v>1988</v>
      </c>
      <c r="E32" s="7" t="n">
        <v>15409</v>
      </c>
      <c r="F32" s="7" t="n">
        <v>155077</v>
      </c>
      <c r="G32" s="7" t="n">
        <v>37458.49</v>
      </c>
      <c r="H32" s="7" t="n">
        <v>111049</v>
      </c>
      <c r="I32" s="7" t="n">
        <v>8722</v>
      </c>
      <c r="J32" s="7" t="n">
        <v>70674000</v>
      </c>
      <c r="K32" s="7" t="n">
        <v>691000000</v>
      </c>
      <c r="L32" s="7" t="n">
        <v>537000000</v>
      </c>
    </row>
    <row r="33" customFormat="false" ht="14.65" hidden="false" customHeight="false" outlineLevel="0" collapsed="false">
      <c r="A33" s="7" t="s">
        <v>118</v>
      </c>
      <c r="B33" s="7" t="s">
        <v>150</v>
      </c>
      <c r="C33" s="7" t="s">
        <v>118</v>
      </c>
      <c r="D33" s="7" t="n">
        <v>1988</v>
      </c>
      <c r="E33" s="7" t="n">
        <v>4388.96</v>
      </c>
      <c r="F33" s="7" t="n">
        <v>21618</v>
      </c>
      <c r="G33" s="7" t="n">
        <v>9192.05</v>
      </c>
      <c r="H33" s="7" t="n">
        <v>29698.23</v>
      </c>
      <c r="I33" s="7" t="n">
        <v>121598</v>
      </c>
      <c r="J33" s="7" t="n">
        <v>15861000</v>
      </c>
      <c r="K33" s="7" t="n">
        <v>258000000</v>
      </c>
      <c r="L33" s="7" t="n">
        <v>111000000</v>
      </c>
    </row>
    <row r="34" customFormat="false" ht="14.65" hidden="false" customHeight="false" outlineLevel="0" collapsed="false">
      <c r="A34" s="7" t="s">
        <v>118</v>
      </c>
      <c r="B34" s="7" t="s">
        <v>151</v>
      </c>
      <c r="C34" s="7" t="s">
        <v>118</v>
      </c>
      <c r="D34" s="7" t="n">
        <v>1988</v>
      </c>
      <c r="E34" s="7" t="n">
        <v>37413.16</v>
      </c>
      <c r="F34" s="7" t="n">
        <v>334914</v>
      </c>
      <c r="G34" s="7" t="n">
        <v>136677.7</v>
      </c>
      <c r="H34" s="7" t="n">
        <v>234991.6</v>
      </c>
      <c r="I34" s="7" t="n">
        <v>54475</v>
      </c>
      <c r="J34" s="7" t="n">
        <v>26813000</v>
      </c>
      <c r="K34" s="7" t="n">
        <v>2000000000</v>
      </c>
      <c r="L34" s="7" t="n">
        <v>1740000000</v>
      </c>
    </row>
    <row r="35" customFormat="false" ht="14.65" hidden="false" customHeight="false" outlineLevel="0" collapsed="false">
      <c r="A35" s="7" t="s">
        <v>118</v>
      </c>
      <c r="B35" s="7" t="s">
        <v>152</v>
      </c>
      <c r="C35" s="7" t="s">
        <v>118</v>
      </c>
      <c r="D35" s="7" t="n">
        <v>1988</v>
      </c>
      <c r="E35" s="7" t="n">
        <v>10338.95</v>
      </c>
      <c r="F35" s="7" t="n">
        <v>96632</v>
      </c>
      <c r="G35" s="7" t="n">
        <v>27589.03</v>
      </c>
      <c r="H35" s="7" t="n">
        <v>92268.96</v>
      </c>
      <c r="I35" s="7" t="n">
        <v>53821</v>
      </c>
      <c r="J35" s="7" t="n">
        <v>78438000</v>
      </c>
      <c r="K35" s="7" t="n">
        <v>648000000</v>
      </c>
      <c r="L35" s="7" t="n">
        <v>451000000</v>
      </c>
    </row>
    <row r="36" customFormat="false" ht="14.65" hidden="false" customHeight="false" outlineLevel="0" collapsed="false">
      <c r="A36" s="7" t="s">
        <v>118</v>
      </c>
      <c r="B36" s="7" t="s">
        <v>153</v>
      </c>
      <c r="C36" s="7" t="s">
        <v>118</v>
      </c>
      <c r="D36" s="7" t="n">
        <v>1988</v>
      </c>
      <c r="E36" s="7" t="n">
        <v>3129.3</v>
      </c>
      <c r="F36" s="7" t="n">
        <v>8601</v>
      </c>
      <c r="G36" s="7" t="n">
        <v>5019.72</v>
      </c>
      <c r="H36" s="7" t="n">
        <v>20859.28</v>
      </c>
      <c r="I36" s="7" t="n">
        <v>70704</v>
      </c>
      <c r="J36" s="7" t="n">
        <v>1181000</v>
      </c>
      <c r="K36" s="7" t="n">
        <v>144000000</v>
      </c>
      <c r="L36" s="7" t="n">
        <v>89492000</v>
      </c>
    </row>
    <row r="37" customFormat="false" ht="14.65" hidden="false" customHeight="false" outlineLevel="0" collapsed="false">
      <c r="A37" s="7" t="s">
        <v>118</v>
      </c>
      <c r="B37" s="7" t="s">
        <v>154</v>
      </c>
      <c r="C37" s="7" t="s">
        <v>118</v>
      </c>
      <c r="D37" s="7" t="n">
        <v>1988</v>
      </c>
      <c r="E37" s="7" t="n">
        <v>23735.85</v>
      </c>
      <c r="F37" s="7" t="n">
        <v>170707</v>
      </c>
      <c r="G37" s="7" t="n">
        <v>56826.91</v>
      </c>
      <c r="H37" s="7" t="n">
        <v>152935.7</v>
      </c>
      <c r="I37" s="7" t="n">
        <v>44828</v>
      </c>
      <c r="J37" s="7" t="n">
        <v>29341000</v>
      </c>
      <c r="K37" s="7" t="n">
        <v>1030000000</v>
      </c>
      <c r="L37" s="7" t="n">
        <v>693000000</v>
      </c>
    </row>
    <row r="38" customFormat="false" ht="14.65" hidden="false" customHeight="false" outlineLevel="0" collapsed="false">
      <c r="A38" s="7" t="s">
        <v>118</v>
      </c>
      <c r="B38" s="7" t="s">
        <v>155</v>
      </c>
      <c r="C38" s="7" t="s">
        <v>118</v>
      </c>
      <c r="D38" s="7" t="n">
        <v>1988</v>
      </c>
      <c r="E38" s="7" t="n">
        <v>6698.98</v>
      </c>
      <c r="F38" s="7" t="n">
        <v>45128</v>
      </c>
      <c r="G38" s="7" t="n">
        <v>16765.62</v>
      </c>
      <c r="H38" s="7" t="n">
        <v>64872.43</v>
      </c>
      <c r="I38" s="7" t="n">
        <v>69903</v>
      </c>
      <c r="J38" s="7" t="n">
        <v>9097000</v>
      </c>
      <c r="K38" s="7" t="n">
        <v>453000000</v>
      </c>
      <c r="L38" s="7" t="n">
        <v>270000000</v>
      </c>
    </row>
    <row r="39" customFormat="false" ht="14.65" hidden="false" customHeight="false" outlineLevel="0" collapsed="false">
      <c r="A39" s="7" t="s">
        <v>118</v>
      </c>
      <c r="B39" s="7" t="s">
        <v>156</v>
      </c>
      <c r="C39" s="7" t="s">
        <v>118</v>
      </c>
      <c r="D39" s="7" t="n">
        <v>1988</v>
      </c>
      <c r="E39" s="7" t="n">
        <v>6837.71</v>
      </c>
      <c r="F39" s="7" t="n">
        <v>39101</v>
      </c>
      <c r="G39" s="7" t="n">
        <v>16140.43</v>
      </c>
      <c r="H39" s="7" t="n">
        <v>40897.2</v>
      </c>
      <c r="I39" s="7" t="n">
        <v>98386</v>
      </c>
      <c r="J39" s="7" t="n">
        <v>22951000</v>
      </c>
      <c r="K39" s="7" t="n">
        <v>427000000</v>
      </c>
      <c r="L39" s="7" t="n">
        <v>244000000</v>
      </c>
    </row>
    <row r="40" customFormat="false" ht="14.65" hidden="false" customHeight="false" outlineLevel="0" collapsed="false">
      <c r="A40" s="7" t="s">
        <v>118</v>
      </c>
      <c r="B40" s="7" t="s">
        <v>157</v>
      </c>
      <c r="C40" s="7" t="s">
        <v>118</v>
      </c>
      <c r="D40" s="7" t="n">
        <v>1988</v>
      </c>
      <c r="E40" s="7" t="n">
        <v>24206.95</v>
      </c>
      <c r="F40" s="7" t="n">
        <v>177793</v>
      </c>
      <c r="G40" s="7" t="n">
        <v>59912.6</v>
      </c>
      <c r="H40" s="7" t="n">
        <v>162151.9</v>
      </c>
      <c r="I40" s="7" t="n">
        <v>46058</v>
      </c>
      <c r="J40" s="7" t="n">
        <v>62654000</v>
      </c>
      <c r="K40" s="7" t="n">
        <v>1500000000</v>
      </c>
      <c r="L40" s="7" t="n">
        <v>1080000000</v>
      </c>
    </row>
    <row r="41" customFormat="false" ht="14.65" hidden="false" customHeight="false" outlineLevel="0" collapsed="false">
      <c r="A41" s="7" t="s">
        <v>118</v>
      </c>
      <c r="B41" s="7" t="s">
        <v>158</v>
      </c>
      <c r="C41" s="7" t="s">
        <v>118</v>
      </c>
      <c r="D41" s="7" t="n">
        <v>1988</v>
      </c>
      <c r="E41" s="7" t="n">
        <v>1980.89</v>
      </c>
      <c r="F41" s="7" t="n">
        <v>14517</v>
      </c>
      <c r="G41" s="7" t="n">
        <v>4332.13</v>
      </c>
      <c r="H41" s="7" t="n">
        <v>9424.25</v>
      </c>
      <c r="I41" s="7" t="n">
        <v>1545</v>
      </c>
      <c r="J41" s="7" t="n">
        <v>5917000</v>
      </c>
      <c r="K41" s="7" t="n">
        <v>168000000</v>
      </c>
      <c r="L41" s="7" t="n">
        <v>26137000</v>
      </c>
    </row>
    <row r="42" customFormat="false" ht="14.65" hidden="false" customHeight="false" outlineLevel="0" collapsed="false">
      <c r="A42" s="7" t="s">
        <v>118</v>
      </c>
      <c r="B42" s="7" t="s">
        <v>159</v>
      </c>
      <c r="C42" s="7" t="s">
        <v>118</v>
      </c>
      <c r="D42" s="7" t="n">
        <v>1988</v>
      </c>
      <c r="E42" s="7" t="n">
        <v>4777.93</v>
      </c>
      <c r="F42" s="7" t="n">
        <v>44895</v>
      </c>
      <c r="G42" s="7" t="n">
        <v>14869.23</v>
      </c>
      <c r="H42" s="7" t="n">
        <v>52312.05</v>
      </c>
      <c r="I42" s="7" t="n">
        <v>32007</v>
      </c>
      <c r="J42" s="7" t="n">
        <v>18495000</v>
      </c>
      <c r="K42" s="7" t="n">
        <v>335000000</v>
      </c>
      <c r="L42" s="7" t="n">
        <v>195000000</v>
      </c>
    </row>
    <row r="43" customFormat="false" ht="14.65" hidden="false" customHeight="false" outlineLevel="0" collapsed="false">
      <c r="A43" s="7" t="s">
        <v>118</v>
      </c>
      <c r="B43" s="7" t="s">
        <v>160</v>
      </c>
      <c r="C43" s="7" t="s">
        <v>118</v>
      </c>
      <c r="D43" s="7" t="n">
        <v>1988</v>
      </c>
      <c r="E43" s="7" t="n">
        <v>3227.74</v>
      </c>
      <c r="F43" s="7" t="n">
        <v>8284</v>
      </c>
      <c r="G43" s="7" t="n">
        <v>5421.95</v>
      </c>
      <c r="H43" s="7" t="n">
        <v>11763.85</v>
      </c>
      <c r="I43" s="7" t="n">
        <v>77121</v>
      </c>
      <c r="J43" s="7" t="n">
        <v>2352000</v>
      </c>
      <c r="K43" s="7" t="n">
        <v>173000000</v>
      </c>
      <c r="L43" s="7" t="n">
        <v>89132000</v>
      </c>
    </row>
    <row r="44" customFormat="false" ht="14.65" hidden="false" customHeight="false" outlineLevel="0" collapsed="false">
      <c r="A44" s="7" t="s">
        <v>118</v>
      </c>
      <c r="B44" s="7" t="s">
        <v>161</v>
      </c>
      <c r="C44" s="7" t="s">
        <v>118</v>
      </c>
      <c r="D44" s="7" t="n">
        <v>1988</v>
      </c>
      <c r="E44" s="7" t="n">
        <v>11110.42</v>
      </c>
      <c r="F44" s="7" t="n">
        <v>72003</v>
      </c>
      <c r="G44" s="7" t="n">
        <v>26911.07</v>
      </c>
      <c r="H44" s="7" t="n">
        <v>71707.9</v>
      </c>
      <c r="I44" s="7" t="n">
        <v>42146</v>
      </c>
      <c r="J44" s="7" t="n">
        <v>38611000</v>
      </c>
      <c r="K44" s="7" t="n">
        <v>724000000</v>
      </c>
      <c r="L44" s="7" t="n">
        <v>352000000</v>
      </c>
    </row>
    <row r="45" customFormat="false" ht="14.65" hidden="false" customHeight="false" outlineLevel="0" collapsed="false">
      <c r="A45" s="7" t="s">
        <v>118</v>
      </c>
      <c r="B45" s="7" t="s">
        <v>162</v>
      </c>
      <c r="C45" s="7" t="s">
        <v>118</v>
      </c>
      <c r="D45" s="7" t="n">
        <v>1988</v>
      </c>
      <c r="E45" s="7" t="n">
        <v>36718.22</v>
      </c>
      <c r="F45" s="7" t="n">
        <v>289009</v>
      </c>
      <c r="G45" s="7" t="n">
        <v>94351.33</v>
      </c>
      <c r="H45" s="7" t="n">
        <v>369738.5</v>
      </c>
      <c r="I45" s="7" t="n">
        <v>268601</v>
      </c>
      <c r="J45" s="7" t="n">
        <v>143000000</v>
      </c>
      <c r="K45" s="7" t="n">
        <v>2980000000</v>
      </c>
      <c r="L45" s="7" t="n">
        <v>1180000000</v>
      </c>
    </row>
    <row r="46" customFormat="false" ht="14.65" hidden="false" customHeight="false" outlineLevel="0" collapsed="false">
      <c r="A46" s="7" t="s">
        <v>118</v>
      </c>
      <c r="B46" s="7" t="s">
        <v>163</v>
      </c>
      <c r="C46" s="7" t="s">
        <v>118</v>
      </c>
      <c r="D46" s="7" t="n">
        <v>1988</v>
      </c>
      <c r="E46" s="7" t="n">
        <v>4317.48</v>
      </c>
      <c r="F46" s="7" t="n">
        <v>22374</v>
      </c>
      <c r="G46" s="7" t="n">
        <v>12235.57</v>
      </c>
      <c r="H46" s="7" t="n">
        <v>23711.81</v>
      </c>
      <c r="I46" s="7" t="n">
        <v>84904</v>
      </c>
      <c r="J46" s="7" t="n">
        <v>2650000</v>
      </c>
      <c r="K46" s="7" t="n">
        <v>269000000</v>
      </c>
      <c r="L46" s="7" t="n">
        <v>120000000</v>
      </c>
    </row>
    <row r="47" customFormat="false" ht="14.65" hidden="false" customHeight="false" outlineLevel="0" collapsed="false">
      <c r="A47" s="7" t="s">
        <v>118</v>
      </c>
      <c r="B47" s="7" t="s">
        <v>164</v>
      </c>
      <c r="C47" s="7" t="s">
        <v>118</v>
      </c>
      <c r="D47" s="7" t="n">
        <v>1988</v>
      </c>
      <c r="E47" s="7" t="n">
        <v>1819.61</v>
      </c>
      <c r="F47" s="7" t="n">
        <v>8834</v>
      </c>
      <c r="G47" s="7" t="n">
        <v>2951.11</v>
      </c>
      <c r="H47" s="7" t="n">
        <v>7667.97</v>
      </c>
      <c r="I47" s="7" t="n">
        <v>9615</v>
      </c>
      <c r="J47" s="7" t="n">
        <v>2032000</v>
      </c>
      <c r="K47" s="7" t="n">
        <v>82864000</v>
      </c>
      <c r="L47" s="7" t="n">
        <v>83575000</v>
      </c>
    </row>
    <row r="48" customFormat="false" ht="14.65" hidden="false" customHeight="false" outlineLevel="0" collapsed="false">
      <c r="A48" s="7" t="s">
        <v>118</v>
      </c>
      <c r="B48" s="7" t="s">
        <v>165</v>
      </c>
      <c r="C48" s="7" t="s">
        <v>118</v>
      </c>
      <c r="D48" s="7" t="n">
        <v>1988</v>
      </c>
      <c r="E48" s="7" t="n">
        <v>14931.72</v>
      </c>
      <c r="F48" s="7" t="n">
        <v>99942</v>
      </c>
      <c r="G48" s="7" t="n">
        <v>29694.37</v>
      </c>
      <c r="H48" s="7" t="n">
        <v>79632.23</v>
      </c>
      <c r="I48" s="7" t="n">
        <v>42769</v>
      </c>
      <c r="J48" s="7" t="n">
        <v>140000000</v>
      </c>
      <c r="K48" s="7" t="n">
        <v>1110000000</v>
      </c>
      <c r="L48" s="7" t="n">
        <v>602000000</v>
      </c>
    </row>
    <row r="49" customFormat="false" ht="14.65" hidden="false" customHeight="false" outlineLevel="0" collapsed="false">
      <c r="A49" s="7" t="s">
        <v>118</v>
      </c>
      <c r="B49" s="7" t="s">
        <v>166</v>
      </c>
      <c r="C49" s="7" t="s">
        <v>118</v>
      </c>
      <c r="D49" s="7" t="n">
        <v>1988</v>
      </c>
      <c r="E49" s="7" t="n">
        <v>12142.25</v>
      </c>
      <c r="F49" s="7" t="n">
        <v>71593</v>
      </c>
      <c r="G49" s="7" t="n">
        <v>41994.39</v>
      </c>
      <c r="H49" s="7" t="n">
        <v>72362.78</v>
      </c>
      <c r="I49" s="7" t="n">
        <v>71303</v>
      </c>
      <c r="J49" s="7" t="n">
        <v>30019000</v>
      </c>
      <c r="K49" s="7" t="n">
        <v>689000000</v>
      </c>
      <c r="L49" s="7" t="n">
        <v>348000000</v>
      </c>
    </row>
    <row r="50" customFormat="false" ht="14.65" hidden="false" customHeight="false" outlineLevel="0" collapsed="false">
      <c r="A50" s="7" t="s">
        <v>118</v>
      </c>
      <c r="B50" s="7" t="s">
        <v>167</v>
      </c>
      <c r="C50" s="7" t="s">
        <v>118</v>
      </c>
      <c r="D50" s="7" t="n">
        <v>1988</v>
      </c>
      <c r="E50" s="7" t="n">
        <v>7562.87</v>
      </c>
      <c r="F50" s="7" t="n">
        <v>23738</v>
      </c>
      <c r="G50" s="7" t="n">
        <v>10902.86</v>
      </c>
      <c r="H50" s="7" t="n">
        <v>37422.09</v>
      </c>
      <c r="I50" s="7" t="n">
        <v>24231</v>
      </c>
      <c r="J50" s="7" t="n">
        <v>9978000</v>
      </c>
      <c r="K50" s="7" t="n">
        <v>258000000</v>
      </c>
      <c r="L50" s="7" t="n">
        <v>193000000</v>
      </c>
    </row>
    <row r="51" customFormat="false" ht="14.65" hidden="false" customHeight="false" outlineLevel="0" collapsed="false">
      <c r="A51" s="7" t="s">
        <v>118</v>
      </c>
      <c r="B51" s="7" t="s">
        <v>168</v>
      </c>
      <c r="C51" s="7" t="s">
        <v>118</v>
      </c>
      <c r="D51" s="7" t="n">
        <v>1988</v>
      </c>
      <c r="E51" s="7" t="n">
        <v>10981.49</v>
      </c>
      <c r="F51" s="7" t="n">
        <v>75299</v>
      </c>
      <c r="G51" s="7" t="n">
        <v>26585.22</v>
      </c>
      <c r="H51" s="7" t="n">
        <v>65617.75</v>
      </c>
      <c r="I51" s="7" t="n">
        <v>65503</v>
      </c>
      <c r="J51" s="7" t="n">
        <v>2703000</v>
      </c>
      <c r="K51" s="7" t="n">
        <v>611000000</v>
      </c>
      <c r="L51" s="7" t="n">
        <v>470000000</v>
      </c>
    </row>
    <row r="52" customFormat="false" ht="14.65" hidden="false" customHeight="false" outlineLevel="0" collapsed="false">
      <c r="A52" s="7" t="s">
        <v>118</v>
      </c>
      <c r="B52" s="7" t="s">
        <v>169</v>
      </c>
      <c r="C52" s="7" t="s">
        <v>118</v>
      </c>
      <c r="D52" s="7" t="n">
        <v>1988</v>
      </c>
      <c r="E52" s="7" t="n">
        <v>3571.6</v>
      </c>
      <c r="F52" s="7" t="n">
        <v>10511</v>
      </c>
      <c r="G52" s="7" t="n">
        <v>6117.12</v>
      </c>
      <c r="H52" s="7" t="n">
        <v>24963.6</v>
      </c>
      <c r="I52" s="7" t="n">
        <v>97818</v>
      </c>
      <c r="J52" s="7" t="n">
        <v>2105000</v>
      </c>
      <c r="K52" s="7" t="n">
        <v>183000000</v>
      </c>
      <c r="L52" s="7" t="n">
        <v>81656000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52"/>
  <sheetViews>
    <sheetView showFormulas="false" showGridLines="true" showRowColHeaders="true" showZeros="true" rightToLeft="false" tabSelected="false" showOutlineSymbols="true" defaultGridColor="true" view="normal" topLeftCell="BP1" colorId="64" zoomScale="100" zoomScaleNormal="100" zoomScalePageLayoutView="100" workbookViewId="0">
      <selection pane="topLeft" activeCell="BR1" activeCellId="0" sqref="BR1:BV52 BR1:BV52"/>
    </sheetView>
  </sheetViews>
  <sheetFormatPr defaultColWidth="10.70703125" defaultRowHeight="14.65" customHeight="false" zeroHeight="false" outlineLevelRow="0" outlineLevelCol="0"/>
  <cols>
    <col collapsed="false" customWidth="true" hidden="false" outlineLevel="0" max="1" min="1" style="3" width="1.42"/>
    <col collapsed="false" customWidth="true" hidden="false" outlineLevel="0" max="2" min="2" style="3" width="14.28"/>
    <col collapsed="false" customWidth="true" hidden="false" outlineLevel="0" max="3" min="3" style="3" width="1.13"/>
    <col collapsed="false" customWidth="true" hidden="false" outlineLevel="0" max="12" min="4" style="0" width="11.05"/>
    <col collapsed="false" customWidth="false" hidden="false" outlineLevel="0" max="257" min="13" style="7" width="10.71"/>
  </cols>
  <sheetData>
    <row r="1" customFormat="false" ht="14.65" hidden="false" customHeight="false" outlineLevel="0" collapsed="false">
      <c r="A1" s="7"/>
      <c r="B1" s="7" t="s">
        <v>108</v>
      </c>
      <c r="C1" s="7"/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114</v>
      </c>
      <c r="J1" s="7" t="s">
        <v>115</v>
      </c>
      <c r="K1" s="7" t="s">
        <v>116</v>
      </c>
      <c r="L1" s="7" t="s">
        <v>117</v>
      </c>
      <c r="M1" s="3" t="s">
        <v>170</v>
      </c>
      <c r="N1" s="3" t="s">
        <v>171</v>
      </c>
      <c r="O1" s="3" t="s">
        <v>172</v>
      </c>
      <c r="P1" s="3" t="s">
        <v>173</v>
      </c>
      <c r="Q1" s="3" t="s">
        <v>174</v>
      </c>
      <c r="R1" s="3" t="s">
        <v>175</v>
      </c>
      <c r="S1" s="3" t="s">
        <v>176</v>
      </c>
      <c r="T1" s="3" t="s">
        <v>177</v>
      </c>
      <c r="U1" s="3" t="s">
        <v>178</v>
      </c>
      <c r="V1" s="3" t="s">
        <v>179</v>
      </c>
      <c r="W1" s="3" t="s">
        <v>180</v>
      </c>
      <c r="X1" s="3" t="s">
        <v>181</v>
      </c>
      <c r="Y1" s="3" t="s">
        <v>182</v>
      </c>
      <c r="Z1" s="3" t="s">
        <v>183</v>
      </c>
      <c r="AA1" s="3" t="s">
        <v>184</v>
      </c>
      <c r="AB1" s="3" t="s">
        <v>185</v>
      </c>
      <c r="AC1" s="3" t="s">
        <v>186</v>
      </c>
      <c r="AD1" s="3" t="s">
        <v>187</v>
      </c>
      <c r="AE1" s="3" t="s">
        <v>188</v>
      </c>
      <c r="AF1" s="3" t="s">
        <v>189</v>
      </c>
      <c r="AG1" s="3" t="s">
        <v>190</v>
      </c>
      <c r="AH1" s="3" t="s">
        <v>191</v>
      </c>
      <c r="AI1" s="3" t="s">
        <v>192</v>
      </c>
      <c r="AJ1" s="3" t="s">
        <v>193</v>
      </c>
      <c r="AK1" s="3" t="s">
        <v>194</v>
      </c>
      <c r="AL1" s="3" t="s">
        <v>195</v>
      </c>
      <c r="AM1" s="3" t="s">
        <v>196</v>
      </c>
      <c r="AN1" s="3" t="s">
        <v>197</v>
      </c>
      <c r="AO1" s="3" t="s">
        <v>198</v>
      </c>
      <c r="AP1" s="3" t="s">
        <v>199</v>
      </c>
      <c r="AQ1" s="7" t="s">
        <v>200</v>
      </c>
      <c r="AR1" s="7" t="s">
        <v>201</v>
      </c>
      <c r="AS1" s="7" t="s">
        <v>202</v>
      </c>
      <c r="AT1" s="7" t="s">
        <v>203</v>
      </c>
      <c r="AU1" s="7" t="s">
        <v>204</v>
      </c>
      <c r="AV1" s="7" t="s">
        <v>205</v>
      </c>
      <c r="AW1" s="17" t="s">
        <v>120</v>
      </c>
      <c r="AX1" s="17" t="s">
        <v>206</v>
      </c>
      <c r="AY1" s="17" t="s">
        <v>123</v>
      </c>
      <c r="AZ1" s="17" t="s">
        <v>207</v>
      </c>
      <c r="BA1" s="17" t="s">
        <v>208</v>
      </c>
      <c r="BB1" s="17" t="s">
        <v>209</v>
      </c>
      <c r="BC1" s="17" t="s">
        <v>210</v>
      </c>
      <c r="BD1" s="17" t="s">
        <v>211</v>
      </c>
      <c r="BE1" s="17" t="s">
        <v>212</v>
      </c>
      <c r="BF1" s="17" t="s">
        <v>213</v>
      </c>
      <c r="BG1" s="17" t="s">
        <v>214</v>
      </c>
      <c r="BH1" s="17" t="s">
        <v>215</v>
      </c>
      <c r="BI1" s="17" t="s">
        <v>216</v>
      </c>
      <c r="BJ1" s="9" t="s">
        <v>217</v>
      </c>
      <c r="BK1" s="9" t="s">
        <v>218</v>
      </c>
      <c r="BL1" s="9" t="s">
        <v>219</v>
      </c>
      <c r="BM1" s="9" t="s">
        <v>220</v>
      </c>
      <c r="BN1" s="8" t="s">
        <v>221</v>
      </c>
      <c r="BO1" s="9" t="s">
        <v>222</v>
      </c>
      <c r="BP1" s="9" t="s">
        <v>223</v>
      </c>
      <c r="BQ1" s="9" t="s">
        <v>224</v>
      </c>
      <c r="BR1" s="8" t="s">
        <v>225</v>
      </c>
      <c r="BS1" s="9" t="s">
        <v>226</v>
      </c>
      <c r="BT1" s="9" t="s">
        <v>227</v>
      </c>
      <c r="BU1" s="9" t="s">
        <v>228</v>
      </c>
      <c r="BV1" s="9" t="s">
        <v>229</v>
      </c>
      <c r="BW1" s="2" t="s">
        <v>101</v>
      </c>
      <c r="BX1" s="2" t="s">
        <v>90</v>
      </c>
      <c r="BY1" s="2" t="s">
        <v>102</v>
      </c>
      <c r="BZ1" s="2" t="s">
        <v>103</v>
      </c>
      <c r="CA1" s="2" t="s">
        <v>104</v>
      </c>
      <c r="CB1" s="2" t="s">
        <v>105</v>
      </c>
      <c r="CC1" s="2" t="s">
        <v>106</v>
      </c>
      <c r="CD1" s="2" t="s">
        <v>0</v>
      </c>
      <c r="CE1" s="2" t="s">
        <v>1</v>
      </c>
      <c r="CF1" s="2" t="s">
        <v>2</v>
      </c>
      <c r="CG1" s="7" t="s">
        <v>107</v>
      </c>
    </row>
    <row r="2" customFormat="false" ht="14.65" hidden="false" customHeight="false" outlineLevel="0" collapsed="false">
      <c r="A2" s="7" t="s">
        <v>118</v>
      </c>
      <c r="B2" s="7" t="s">
        <v>119</v>
      </c>
      <c r="C2" s="7" t="s">
        <v>118</v>
      </c>
      <c r="D2" s="7" t="n">
        <v>1988</v>
      </c>
      <c r="E2" s="7" t="n">
        <v>8905.74</v>
      </c>
      <c r="F2" s="7" t="n">
        <v>53547</v>
      </c>
      <c r="G2" s="7" t="n">
        <v>20204.46</v>
      </c>
      <c r="H2" s="7" t="n">
        <v>66008.17</v>
      </c>
      <c r="I2" s="7" t="n">
        <v>52423</v>
      </c>
      <c r="J2" s="7" t="n">
        <v>41714000</v>
      </c>
      <c r="K2" s="7" t="n">
        <v>470000000</v>
      </c>
      <c r="L2" s="7" t="n">
        <v>342000000</v>
      </c>
      <c r="M2" s="3" t="n">
        <v>125348</v>
      </c>
      <c r="N2" s="3" t="n">
        <v>77005</v>
      </c>
      <c r="O2" s="3" t="n">
        <v>202353</v>
      </c>
      <c r="P2" s="3" t="n">
        <v>7008</v>
      </c>
      <c r="Q2" s="3" t="n">
        <v>87510</v>
      </c>
      <c r="R2" s="3" t="n">
        <v>94518</v>
      </c>
      <c r="S2" s="3" t="n">
        <v>29484</v>
      </c>
      <c r="T2" s="3" t="n">
        <v>238395</v>
      </c>
      <c r="U2" s="3" t="n">
        <v>267879</v>
      </c>
      <c r="V2" s="3" t="n">
        <v>7412</v>
      </c>
      <c r="W2" s="3" t="n">
        <v>55938</v>
      </c>
      <c r="X2" s="3" t="n">
        <v>63350</v>
      </c>
      <c r="Y2" s="3" t="n">
        <v>154832</v>
      </c>
      <c r="Z2" s="3" t="n">
        <v>315400</v>
      </c>
      <c r="AA2" s="3" t="n">
        <v>470232</v>
      </c>
      <c r="AB2" s="3" t="n">
        <v>14420</v>
      </c>
      <c r="AC2" s="3" t="n">
        <v>143448</v>
      </c>
      <c r="AD2" s="3" t="n">
        <v>157868</v>
      </c>
      <c r="AE2" s="3" t="n">
        <v>602</v>
      </c>
      <c r="AF2" s="3" t="n">
        <f aca="false">+AG2-AE2</f>
        <v>72226</v>
      </c>
      <c r="AG2" s="3" t="n">
        <v>72828</v>
      </c>
      <c r="AH2" s="3" t="n">
        <v>297</v>
      </c>
      <c r="AI2" s="3" t="n">
        <v>21</v>
      </c>
      <c r="AJ2" s="3" t="n">
        <f aca="false">+AK2-AH2-AI2</f>
        <v>19063</v>
      </c>
      <c r="AK2" s="3" t="n">
        <v>19381</v>
      </c>
      <c r="AL2" s="3" t="n">
        <f aca="false">AG2+AK2</f>
        <v>92209</v>
      </c>
      <c r="AM2" s="3" t="n">
        <v>43</v>
      </c>
      <c r="AN2" s="3" t="n">
        <v>254</v>
      </c>
      <c r="AO2" s="3" t="n">
        <v>0</v>
      </c>
      <c r="AP2" s="3" t="n">
        <v>602</v>
      </c>
      <c r="AQ2" s="7" t="n">
        <v>56</v>
      </c>
      <c r="AR2" s="7" t="n">
        <v>16.9</v>
      </c>
      <c r="AS2" s="7" t="n">
        <v>27.1</v>
      </c>
      <c r="AT2" s="7" t="n">
        <v>72.7</v>
      </c>
      <c r="AU2" s="7" t="n">
        <v>14.3</v>
      </c>
      <c r="AV2" s="7" t="n">
        <v>13</v>
      </c>
      <c r="AW2" s="18" t="n">
        <v>0</v>
      </c>
      <c r="AX2" s="18" t="n">
        <v>0</v>
      </c>
      <c r="AY2" s="18" t="n">
        <v>0</v>
      </c>
      <c r="AZ2" s="18" t="n">
        <v>1</v>
      </c>
      <c r="BA2" s="18" t="n">
        <v>0</v>
      </c>
      <c r="BB2" s="18" t="n">
        <v>0</v>
      </c>
      <c r="BC2" s="3" t="n">
        <v>4442</v>
      </c>
      <c r="BD2" s="3" t="n">
        <v>18361</v>
      </c>
      <c r="BE2" s="3" t="n">
        <v>22803</v>
      </c>
      <c r="BF2" s="3" t="n">
        <v>4208</v>
      </c>
      <c r="BG2" s="3" t="n">
        <v>326</v>
      </c>
      <c r="BH2" s="3" t="n">
        <v>18425</v>
      </c>
      <c r="BI2" s="3" t="n">
        <v>22959</v>
      </c>
      <c r="BJ2" s="11" t="n">
        <v>372518</v>
      </c>
      <c r="BK2" s="11" t="n">
        <v>42839</v>
      </c>
      <c r="BL2" s="11" t="n">
        <v>974</v>
      </c>
      <c r="BM2" s="11" t="n">
        <v>416331</v>
      </c>
      <c r="BN2" s="10" t="n">
        <v>134450</v>
      </c>
      <c r="BO2" s="11" t="n">
        <v>299897</v>
      </c>
      <c r="BP2" s="11" t="n">
        <v>14</v>
      </c>
      <c r="BQ2" s="11" t="n">
        <v>434361</v>
      </c>
      <c r="BR2" s="10" t="n">
        <v>72558</v>
      </c>
      <c r="BS2" s="11" t="n">
        <v>57359</v>
      </c>
      <c r="BT2" s="11" t="n">
        <v>11128</v>
      </c>
      <c r="BU2" s="11" t="n">
        <v>20436</v>
      </c>
      <c r="BV2" s="11" t="n">
        <v>1012173</v>
      </c>
      <c r="BW2" s="2" t="n">
        <v>25028</v>
      </c>
      <c r="BX2" s="2" t="n">
        <v>26376</v>
      </c>
      <c r="BY2" s="2" t="n">
        <v>25.49</v>
      </c>
      <c r="BZ2" s="2" t="n">
        <v>1.6</v>
      </c>
      <c r="CA2" s="2" t="n">
        <v>0.419</v>
      </c>
      <c r="CB2" s="2" t="n">
        <v>0.862</v>
      </c>
      <c r="CC2" s="2" t="n">
        <v>217.9</v>
      </c>
      <c r="CD2" s="2" t="n">
        <v>4089</v>
      </c>
      <c r="CE2" s="2" t="n">
        <v>52423</v>
      </c>
      <c r="CF2" s="2" t="n">
        <v>78.0001144535795</v>
      </c>
      <c r="CG2" s="3" t="s">
        <v>91</v>
      </c>
    </row>
    <row r="3" customFormat="false" ht="14.65" hidden="false" customHeight="false" outlineLevel="0" collapsed="false">
      <c r="A3" s="7" t="s">
        <v>118</v>
      </c>
      <c r="B3" s="7" t="s">
        <v>120</v>
      </c>
      <c r="C3" s="7" t="s">
        <v>118</v>
      </c>
      <c r="D3" s="7" t="n">
        <v>1988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3" t="n">
        <v>35459</v>
      </c>
      <c r="N3" s="3" t="n">
        <v>71217</v>
      </c>
      <c r="O3" s="3" t="n">
        <v>106676</v>
      </c>
      <c r="P3" s="3" t="n">
        <v>1369</v>
      </c>
      <c r="Q3" s="3" t="n">
        <v>19907</v>
      </c>
      <c r="R3" s="3" t="n">
        <v>21276</v>
      </c>
      <c r="S3" s="3" t="n">
        <v>50659</v>
      </c>
      <c r="T3" s="3" t="n">
        <v>84665</v>
      </c>
      <c r="U3" s="3" t="n">
        <v>135324</v>
      </c>
      <c r="V3" s="3" t="n">
        <v>3744</v>
      </c>
      <c r="W3" s="3" t="n">
        <v>8380</v>
      </c>
      <c r="X3" s="3" t="n">
        <v>12124</v>
      </c>
      <c r="Y3" s="3" t="n">
        <v>86118</v>
      </c>
      <c r="Z3" s="3" t="n">
        <v>155882</v>
      </c>
      <c r="AA3" s="3" t="n">
        <v>242000</v>
      </c>
      <c r="AB3" s="3" t="n">
        <v>5113</v>
      </c>
      <c r="AC3" s="3" t="n">
        <v>28287</v>
      </c>
      <c r="AD3" s="3" t="n">
        <v>33400</v>
      </c>
      <c r="AE3" s="3" t="n">
        <v>1003</v>
      </c>
      <c r="AF3" s="3" t="n">
        <f aca="false">+AG3-AE3</f>
        <v>11104</v>
      </c>
      <c r="AG3" s="3" t="n">
        <v>12107</v>
      </c>
      <c r="AH3" s="3" t="n">
        <v>54</v>
      </c>
      <c r="AI3" s="3" t="n">
        <v>0</v>
      </c>
      <c r="AJ3" s="3" t="n">
        <f aca="false">+AK3-AH3-AI3</f>
        <v>1688</v>
      </c>
      <c r="AK3" s="3" t="n">
        <v>1742</v>
      </c>
      <c r="AL3" s="3" t="n">
        <f aca="false">AG3+AK3</f>
        <v>13849</v>
      </c>
      <c r="AM3" s="3" t="n">
        <v>10</v>
      </c>
      <c r="AN3" s="3" t="n">
        <v>44</v>
      </c>
      <c r="AO3" s="3" t="n">
        <v>0</v>
      </c>
      <c r="AP3" s="3" t="n">
        <v>1003</v>
      </c>
      <c r="AQ3" s="7" t="n">
        <v>57.9</v>
      </c>
      <c r="AR3" s="7" t="n">
        <v>39.7</v>
      </c>
      <c r="AS3" s="7" t="n">
        <v>2.4</v>
      </c>
      <c r="AT3" s="7" t="n">
        <v>85.1</v>
      </c>
      <c r="AU3" s="7" t="n">
        <v>14.2</v>
      </c>
      <c r="AV3" s="7" t="n">
        <v>0.700000000000006</v>
      </c>
      <c r="AW3" s="18" t="n">
        <v>1</v>
      </c>
      <c r="AX3" s="18" t="n">
        <v>0</v>
      </c>
      <c r="AY3" s="18" t="n">
        <v>0</v>
      </c>
      <c r="AZ3" s="18" t="n">
        <v>0</v>
      </c>
      <c r="BA3" s="18" t="n">
        <v>0</v>
      </c>
      <c r="BB3" s="18" t="n">
        <v>0</v>
      </c>
      <c r="BC3" s="3" t="n">
        <v>677</v>
      </c>
      <c r="BD3" s="3" t="n">
        <v>1328</v>
      </c>
      <c r="BE3" s="3" t="n">
        <v>2005</v>
      </c>
      <c r="BF3" s="3" t="n">
        <v>450</v>
      </c>
      <c r="BG3" s="3" t="n">
        <v>0</v>
      </c>
      <c r="BH3" s="3" t="n">
        <v>1386</v>
      </c>
      <c r="BI3" s="3" t="n">
        <v>1836</v>
      </c>
      <c r="BJ3" s="11" t="n">
        <v>213000</v>
      </c>
      <c r="BK3" s="11" t="n">
        <v>60888</v>
      </c>
      <c r="BL3" s="11" t="n">
        <v>4942</v>
      </c>
      <c r="BM3" s="11" t="n">
        <v>278830</v>
      </c>
      <c r="BN3" s="10" t="n">
        <v>121900</v>
      </c>
      <c r="BO3" s="11" t="n">
        <v>34166</v>
      </c>
      <c r="BP3" s="11" t="n">
        <v>831</v>
      </c>
      <c r="BQ3" s="11" t="n">
        <v>156897</v>
      </c>
      <c r="BR3" s="10" t="n">
        <v>30088</v>
      </c>
      <c r="BS3" s="11" t="n">
        <v>40116</v>
      </c>
      <c r="BT3" s="11" t="n">
        <v>13411</v>
      </c>
      <c r="BU3" s="11" t="n">
        <v>21623</v>
      </c>
      <c r="BV3" s="11" t="n">
        <v>540965</v>
      </c>
      <c r="BW3" s="2" t="n">
        <v>37943</v>
      </c>
      <c r="BX3" s="2" t="n">
        <v>38889</v>
      </c>
      <c r="BY3" s="2" t="n">
        <v>31.89</v>
      </c>
      <c r="BZ3" s="2" t="n">
        <v>1.89</v>
      </c>
      <c r="CA3" s="2" t="n">
        <v>0.464</v>
      </c>
      <c r="CB3" s="2" t="n">
        <v>1.161</v>
      </c>
      <c r="CC3" s="2" t="n">
        <v>855.03</v>
      </c>
      <c r="CD3" s="2" t="n">
        <v>570</v>
      </c>
      <c r="CE3" s="2" t="n">
        <v>591004</v>
      </c>
      <c r="CF3" s="2" t="n">
        <v>0.964460477424857</v>
      </c>
      <c r="CG3" s="3" t="s">
        <v>91</v>
      </c>
    </row>
    <row r="4" customFormat="false" ht="14.65" hidden="false" customHeight="false" outlineLevel="0" collapsed="false">
      <c r="A4" s="7" t="s">
        <v>118</v>
      </c>
      <c r="B4" s="7" t="s">
        <v>121</v>
      </c>
      <c r="C4" s="7" t="s">
        <v>118</v>
      </c>
      <c r="D4" s="7" t="n">
        <v>1988</v>
      </c>
      <c r="E4" s="7" t="n">
        <v>7955.02</v>
      </c>
      <c r="F4" s="7" t="n">
        <v>50630</v>
      </c>
      <c r="G4" s="7" t="n">
        <v>23693.97</v>
      </c>
      <c r="H4" s="7" t="n">
        <v>48932.84</v>
      </c>
      <c r="I4" s="7" t="n">
        <v>114006</v>
      </c>
      <c r="J4" s="7" t="n">
        <v>216000000</v>
      </c>
      <c r="K4" s="7" t="n">
        <v>1070000000</v>
      </c>
      <c r="L4" s="7" t="n">
        <v>199000000</v>
      </c>
      <c r="M4" s="3" t="n">
        <v>48078</v>
      </c>
      <c r="N4" s="3" t="n">
        <v>229257</v>
      </c>
      <c r="O4" s="3" t="n">
        <v>277335</v>
      </c>
      <c r="P4" s="3" t="e">
        <f aca="false">#REF!</f>
        <v>#VALUE!</v>
      </c>
      <c r="Q4" s="3" t="e">
        <f aca="false">#REF!</f>
        <v>#VALUE!</v>
      </c>
      <c r="R4" s="3" t="e">
        <f aca="false">#REF!</f>
        <v>#VALUE!</v>
      </c>
      <c r="S4" s="3" t="n">
        <v>66574</v>
      </c>
      <c r="T4" s="3" t="n">
        <v>136890</v>
      </c>
      <c r="U4" s="3" t="n">
        <v>203464</v>
      </c>
      <c r="V4" s="3" t="s">
        <v>20</v>
      </c>
      <c r="W4" s="3" t="e">
        <f aca="false">#REF!</f>
        <v>#VALUE!</v>
      </c>
      <c r="X4" s="3" t="s">
        <v>20</v>
      </c>
      <c r="Y4" s="3" t="n">
        <v>114652</v>
      </c>
      <c r="Z4" s="3" t="n">
        <v>366147</v>
      </c>
      <c r="AA4" s="3" t="n">
        <v>480799</v>
      </c>
      <c r="AB4" s="3" t="s">
        <v>20</v>
      </c>
      <c r="AC4" s="3" t="e">
        <f aca="false">#REF!</f>
        <v>#VALUE!</v>
      </c>
      <c r="AD4" s="3" t="n">
        <v>68839</v>
      </c>
      <c r="AE4" s="3" t="n">
        <v>987</v>
      </c>
      <c r="AF4" s="3" t="n">
        <f aca="false">+AG4-AE4</f>
        <v>38436</v>
      </c>
      <c r="AG4" s="3" t="n">
        <v>39423</v>
      </c>
      <c r="AH4" s="3" t="n">
        <v>202</v>
      </c>
      <c r="AI4" s="3" t="n">
        <v>70</v>
      </c>
      <c r="AJ4" s="3" t="n">
        <f aca="false">+AK4-AH4-AI4</f>
        <v>16068</v>
      </c>
      <c r="AK4" s="3" t="n">
        <v>16340</v>
      </c>
      <c r="AL4" s="3" t="n">
        <f aca="false">AG4+AK4</f>
        <v>55763</v>
      </c>
      <c r="AM4" s="3" t="n">
        <v>54</v>
      </c>
      <c r="AN4" s="3" t="n">
        <v>148</v>
      </c>
      <c r="AO4" s="3" t="n">
        <v>0</v>
      </c>
      <c r="AP4" s="3" t="n">
        <v>987</v>
      </c>
      <c r="AQ4" s="7" t="n">
        <v>57.7</v>
      </c>
      <c r="AR4" s="7" t="n">
        <v>26</v>
      </c>
      <c r="AS4" s="7" t="n">
        <v>16.3</v>
      </c>
      <c r="AT4" s="7" t="n">
        <v>58.7</v>
      </c>
      <c r="AU4" s="7" t="n">
        <v>33.2</v>
      </c>
      <c r="AV4" s="7" t="n">
        <v>8.09999999999999</v>
      </c>
      <c r="AW4" s="18" t="n">
        <v>0</v>
      </c>
      <c r="AX4" s="18" t="n">
        <v>0</v>
      </c>
      <c r="AY4" s="18" t="n">
        <v>0</v>
      </c>
      <c r="AZ4" s="18" t="n">
        <v>0</v>
      </c>
      <c r="BA4" s="18" t="n">
        <v>0</v>
      </c>
      <c r="BB4" s="18" t="n">
        <v>0</v>
      </c>
      <c r="BC4" s="3" t="n">
        <v>5110</v>
      </c>
      <c r="BD4" s="3" t="n">
        <v>8678</v>
      </c>
      <c r="BE4" s="3" t="n">
        <v>13788</v>
      </c>
      <c r="BF4" s="3" t="n">
        <v>3003</v>
      </c>
      <c r="BG4" s="3" t="n">
        <v>1344</v>
      </c>
      <c r="BH4" s="3" t="n">
        <v>16912</v>
      </c>
      <c r="BI4" s="3" t="n">
        <v>21259</v>
      </c>
      <c r="BJ4" s="11" t="n">
        <v>488274</v>
      </c>
      <c r="BK4" s="11" t="n">
        <v>205236</v>
      </c>
      <c r="BL4" s="11" t="n">
        <v>19046</v>
      </c>
      <c r="BM4" s="11" t="n">
        <v>712556</v>
      </c>
      <c r="BN4" s="10" t="n">
        <v>68907</v>
      </c>
      <c r="BO4" s="11" t="n">
        <v>84516</v>
      </c>
      <c r="BP4" s="11" t="n">
        <v>10641</v>
      </c>
      <c r="BQ4" s="11" t="n">
        <v>164064</v>
      </c>
      <c r="BR4" s="10" t="n">
        <v>70527</v>
      </c>
      <c r="BS4" s="11" t="n">
        <v>78446</v>
      </c>
      <c r="BT4" s="11" t="n">
        <v>154305</v>
      </c>
      <c r="BU4" s="11" t="n">
        <v>359239</v>
      </c>
      <c r="BV4" s="11" t="n">
        <v>1539137</v>
      </c>
      <c r="BW4" s="2" t="n">
        <v>24995</v>
      </c>
      <c r="BX4" s="2" t="n">
        <v>25906</v>
      </c>
      <c r="BY4" s="2" t="n">
        <v>22.42</v>
      </c>
      <c r="BZ4" s="2" t="n">
        <v>5.21</v>
      </c>
      <c r="CA4" s="2" t="n">
        <v>0.354</v>
      </c>
      <c r="CB4" s="2" t="n">
        <v>1.62</v>
      </c>
      <c r="CC4" s="2" t="n">
        <v>206.73</v>
      </c>
      <c r="CD4" s="2" t="n">
        <v>3750</v>
      </c>
      <c r="CE4" s="2" t="n">
        <v>114006</v>
      </c>
      <c r="CF4" s="2" t="n">
        <v>32.8930056312826</v>
      </c>
      <c r="CG4" s="3" t="s">
        <v>93</v>
      </c>
    </row>
    <row r="5" customFormat="false" ht="14.65" hidden="false" customHeight="false" outlineLevel="0" collapsed="false">
      <c r="A5" s="7" t="s">
        <v>118</v>
      </c>
      <c r="B5" s="7" t="s">
        <v>122</v>
      </c>
      <c r="C5" s="7" t="s">
        <v>118</v>
      </c>
      <c r="D5" s="7" t="n">
        <v>1988</v>
      </c>
      <c r="E5" s="7" t="n">
        <v>4829.36</v>
      </c>
      <c r="F5" s="7" t="n">
        <v>29802</v>
      </c>
      <c r="G5" s="7" t="n">
        <v>10411.96</v>
      </c>
      <c r="H5" s="7" t="n">
        <v>34924.26</v>
      </c>
      <c r="I5" s="7" t="n">
        <v>53182</v>
      </c>
      <c r="J5" s="7" t="n">
        <v>11366000</v>
      </c>
      <c r="K5" s="7" t="n">
        <v>307000000</v>
      </c>
      <c r="L5" s="7" t="n">
        <v>197000000</v>
      </c>
      <c r="M5" s="3" t="n">
        <v>6623</v>
      </c>
      <c r="N5" s="3" t="n">
        <v>132474</v>
      </c>
      <c r="O5" s="3" t="n">
        <v>139097</v>
      </c>
      <c r="P5" s="3" t="n">
        <v>1387</v>
      </c>
      <c r="Q5" s="3" t="n">
        <v>24221</v>
      </c>
      <c r="R5" s="3" t="n">
        <v>25608</v>
      </c>
      <c r="S5" s="3" t="n">
        <v>26357</v>
      </c>
      <c r="T5" s="3" t="n">
        <v>196878</v>
      </c>
      <c r="U5" s="3" t="n">
        <v>223235</v>
      </c>
      <c r="V5" s="3" t="n">
        <v>7154</v>
      </c>
      <c r="W5" s="3" t="n">
        <v>60650</v>
      </c>
      <c r="X5" s="3" t="n">
        <v>67804</v>
      </c>
      <c r="Y5" s="3" t="n">
        <v>32980</v>
      </c>
      <c r="Z5" s="3" t="n">
        <v>329352</v>
      </c>
      <c r="AA5" s="3" t="n">
        <v>362332</v>
      </c>
      <c r="AB5" s="3" t="n">
        <v>8541</v>
      </c>
      <c r="AC5" s="3" t="n">
        <v>84871</v>
      </c>
      <c r="AD5" s="3" t="n">
        <v>93412</v>
      </c>
      <c r="AE5" s="3" t="n">
        <v>412</v>
      </c>
      <c r="AF5" s="3" t="n">
        <f aca="false">+AG5-AE5</f>
        <v>69185</v>
      </c>
      <c r="AG5" s="3" t="n">
        <v>69597</v>
      </c>
      <c r="AH5" s="3" t="n">
        <v>131</v>
      </c>
      <c r="AI5" s="3" t="n">
        <v>94</v>
      </c>
      <c r="AJ5" s="3" t="n">
        <f aca="false">+AK5-AH5-AI5</f>
        <v>7370</v>
      </c>
      <c r="AK5" s="3" t="n">
        <v>7595</v>
      </c>
      <c r="AL5" s="3" t="n">
        <f aca="false">AG5+AK5</f>
        <v>77192</v>
      </c>
      <c r="AM5" s="3" t="n">
        <v>45</v>
      </c>
      <c r="AN5" s="3" t="n">
        <v>86</v>
      </c>
      <c r="AO5" s="3" t="n">
        <v>3</v>
      </c>
      <c r="AP5" s="3" t="n">
        <v>409</v>
      </c>
      <c r="AQ5" s="7" t="n">
        <v>56.5</v>
      </c>
      <c r="AR5" s="7" t="n">
        <v>13.4</v>
      </c>
      <c r="AS5" s="7" t="n">
        <v>30.1</v>
      </c>
      <c r="AT5" s="7" t="n">
        <v>68.8</v>
      </c>
      <c r="AU5" s="7" t="n">
        <v>14.8</v>
      </c>
      <c r="AV5" s="7" t="n">
        <v>16.4</v>
      </c>
      <c r="AW5" s="18" t="n">
        <v>0</v>
      </c>
      <c r="AX5" s="18" t="n">
        <v>0</v>
      </c>
      <c r="AY5" s="18" t="n">
        <v>0</v>
      </c>
      <c r="AZ5" s="18" t="n">
        <v>1</v>
      </c>
      <c r="BA5" s="18" t="n">
        <v>0</v>
      </c>
      <c r="BB5" s="18" t="n">
        <v>0</v>
      </c>
      <c r="BC5" s="3" t="n">
        <v>3140</v>
      </c>
      <c r="BD5" s="3" t="n">
        <v>11908</v>
      </c>
      <c r="BE5" s="3" t="n">
        <v>15048</v>
      </c>
      <c r="BF5" s="3" t="n">
        <v>1758</v>
      </c>
      <c r="BG5" s="3" t="n">
        <v>717</v>
      </c>
      <c r="BH5" s="3" t="n">
        <v>5558</v>
      </c>
      <c r="BI5" s="3" t="n">
        <v>8033</v>
      </c>
      <c r="BJ5" s="11" t="n">
        <v>325826</v>
      </c>
      <c r="BK5" s="11" t="n">
        <v>72239</v>
      </c>
      <c r="BL5" s="11" t="n">
        <v>868</v>
      </c>
      <c r="BM5" s="11" t="n">
        <v>398933</v>
      </c>
      <c r="BN5" s="10" t="n">
        <v>113232</v>
      </c>
      <c r="BO5" s="11" t="n">
        <v>130379</v>
      </c>
      <c r="BP5" s="11" t="n">
        <v>310</v>
      </c>
      <c r="BQ5" s="11" t="n">
        <v>243921</v>
      </c>
      <c r="BR5" s="10" t="n">
        <v>42524</v>
      </c>
      <c r="BS5" s="11" t="n">
        <v>45163</v>
      </c>
      <c r="BT5" s="11" t="n">
        <v>661</v>
      </c>
      <c r="BU5" s="11" t="n">
        <v>449</v>
      </c>
      <c r="BV5" s="11" t="n">
        <v>731651</v>
      </c>
      <c r="BW5" s="2" t="n">
        <v>22793</v>
      </c>
      <c r="BX5" s="2" t="n">
        <v>23336</v>
      </c>
      <c r="BY5" s="2" t="n">
        <v>26.28</v>
      </c>
      <c r="BZ5" s="2" t="n">
        <v>1.31</v>
      </c>
      <c r="CA5" s="2" t="n">
        <v>0.544</v>
      </c>
      <c r="CB5" s="2" t="n">
        <v>0.674</v>
      </c>
      <c r="CC5" s="2" t="n">
        <v>259.97</v>
      </c>
      <c r="CD5" s="2" t="n">
        <v>2372</v>
      </c>
      <c r="CE5" s="2" t="n">
        <v>53182</v>
      </c>
      <c r="CF5" s="2" t="n">
        <v>44.6015569177541</v>
      </c>
      <c r="CG5" s="3" t="s">
        <v>91</v>
      </c>
    </row>
    <row r="6" customFormat="false" ht="14.65" hidden="false" customHeight="false" outlineLevel="0" collapsed="false">
      <c r="A6" s="7" t="s">
        <v>118</v>
      </c>
      <c r="B6" s="7" t="s">
        <v>123</v>
      </c>
      <c r="C6" s="7" t="s">
        <v>118</v>
      </c>
      <c r="D6" s="7" t="n">
        <v>1988</v>
      </c>
      <c r="E6" s="7" t="n">
        <v>42835.42</v>
      </c>
      <c r="F6" s="7" t="n">
        <v>528674</v>
      </c>
      <c r="G6" s="7" t="n">
        <v>145321.6</v>
      </c>
      <c r="H6" s="7" t="n">
        <v>400653.1</v>
      </c>
      <c r="I6" s="7" t="n">
        <v>163707</v>
      </c>
      <c r="J6" s="7" t="n">
        <v>244000000</v>
      </c>
      <c r="K6" s="7" t="n">
        <v>2220000000</v>
      </c>
      <c r="L6" s="7" t="n">
        <v>1560000000</v>
      </c>
      <c r="M6" s="3" t="n">
        <v>513828</v>
      </c>
      <c r="N6" s="3" t="n">
        <v>881208</v>
      </c>
      <c r="O6" s="3" t="n">
        <v>1395036</v>
      </c>
      <c r="P6" s="3" t="n">
        <v>51921</v>
      </c>
      <c r="Q6" s="3" t="n">
        <v>80647</v>
      </c>
      <c r="R6" s="3" t="n">
        <v>132568</v>
      </c>
      <c r="S6" s="3" t="n">
        <v>61578</v>
      </c>
      <c r="T6" s="3" t="n">
        <v>678709</v>
      </c>
      <c r="U6" s="3" t="n">
        <v>740287</v>
      </c>
      <c r="V6" s="3" t="n">
        <v>44901</v>
      </c>
      <c r="W6" s="3" t="n">
        <v>164991</v>
      </c>
      <c r="X6" s="3" t="n">
        <v>209892</v>
      </c>
      <c r="Y6" s="3" t="n">
        <v>575406</v>
      </c>
      <c r="Z6" s="3" t="n">
        <v>1559917</v>
      </c>
      <c r="AA6" s="3" t="n">
        <v>2135323</v>
      </c>
      <c r="AB6" s="3" t="n">
        <v>96822</v>
      </c>
      <c r="AC6" s="3" t="n">
        <v>245638</v>
      </c>
      <c r="AD6" s="3" t="n">
        <v>342460</v>
      </c>
      <c r="AE6" s="3" t="n">
        <v>1356</v>
      </c>
      <c r="AF6" s="3" t="n">
        <f aca="false">+AG6-AE6</f>
        <v>86784</v>
      </c>
      <c r="AG6" s="3" t="n">
        <v>88140</v>
      </c>
      <c r="AH6" s="3" t="n">
        <v>1067</v>
      </c>
      <c r="AI6" s="3" t="n">
        <v>1393</v>
      </c>
      <c r="AJ6" s="3" t="n">
        <f aca="false">+AK6-AH6-AI6</f>
        <v>78601</v>
      </c>
      <c r="AK6" s="3" t="n">
        <v>81061</v>
      </c>
      <c r="AL6" s="3" t="n">
        <f aca="false">AG6+AK6</f>
        <v>169201</v>
      </c>
      <c r="AM6" s="3" t="n">
        <v>940</v>
      </c>
      <c r="AN6" s="3" t="n">
        <v>127</v>
      </c>
      <c r="AO6" s="3" t="n">
        <v>286</v>
      </c>
      <c r="AP6" s="3" t="n">
        <v>1070</v>
      </c>
      <c r="AQ6" s="7" t="n">
        <v>69.3</v>
      </c>
      <c r="AR6" s="7" t="n">
        <v>17.2</v>
      </c>
      <c r="AS6" s="7" t="n">
        <v>13.5</v>
      </c>
      <c r="AT6" s="7" t="n">
        <v>86.2</v>
      </c>
      <c r="AU6" s="7" t="n">
        <v>11</v>
      </c>
      <c r="AV6" s="7" t="n">
        <v>2.8</v>
      </c>
      <c r="AW6" s="18" t="n">
        <v>0</v>
      </c>
      <c r="AX6" s="18" t="n">
        <v>0</v>
      </c>
      <c r="AY6" s="18" t="n">
        <v>1</v>
      </c>
      <c r="AZ6" s="18" t="n">
        <v>0</v>
      </c>
      <c r="BA6" s="18" t="n">
        <v>0</v>
      </c>
      <c r="BB6" s="18" t="n">
        <v>0</v>
      </c>
      <c r="BC6" s="3" t="n">
        <v>14322</v>
      </c>
      <c r="BD6" s="3" t="n">
        <v>37875</v>
      </c>
      <c r="BE6" s="3" t="n">
        <v>52197</v>
      </c>
      <c r="BF6" s="3" t="n">
        <v>52566</v>
      </c>
      <c r="BG6" s="3" t="n">
        <v>42332</v>
      </c>
      <c r="BH6" s="3" t="n">
        <v>115453</v>
      </c>
      <c r="BI6" s="3" t="n">
        <v>210351</v>
      </c>
      <c r="BJ6" s="13" t="n">
        <v>2089004</v>
      </c>
      <c r="BK6" s="13" t="n">
        <v>1700434</v>
      </c>
      <c r="BL6" s="13" t="n">
        <v>15983</v>
      </c>
      <c r="BM6" s="13" t="n">
        <v>3805421</v>
      </c>
      <c r="BN6" s="12" t="n">
        <v>511977</v>
      </c>
      <c r="BO6" s="13" t="n">
        <v>1474922</v>
      </c>
      <c r="BP6" s="13" t="n">
        <v>1685</v>
      </c>
      <c r="BQ6" s="13" t="n">
        <v>1988584</v>
      </c>
      <c r="BR6" s="12" t="n">
        <v>1046908</v>
      </c>
      <c r="BS6" s="13" t="n">
        <v>1182559</v>
      </c>
      <c r="BT6" s="13" t="n">
        <v>58263</v>
      </c>
      <c r="BU6" s="13" t="n">
        <v>35336</v>
      </c>
      <c r="BV6" s="13" t="n">
        <v>8117071</v>
      </c>
      <c r="BW6" s="2" t="n">
        <v>33080</v>
      </c>
      <c r="BX6" s="2" t="n">
        <v>33795</v>
      </c>
      <c r="BY6" s="2" t="n">
        <v>28.79</v>
      </c>
      <c r="BZ6" s="2" t="n">
        <v>3.15</v>
      </c>
      <c r="CA6" s="2" t="n">
        <v>0.414</v>
      </c>
      <c r="CB6" s="2" t="n">
        <v>1.07</v>
      </c>
      <c r="CC6" s="2" t="n">
        <v>256.86</v>
      </c>
      <c r="CD6" s="2" t="n">
        <v>30380</v>
      </c>
      <c r="CE6" s="2" t="n">
        <v>163707</v>
      </c>
      <c r="CF6" s="2" t="n">
        <v>185.575448820148</v>
      </c>
      <c r="CG6" s="3" t="s">
        <v>94</v>
      </c>
    </row>
    <row r="7" customFormat="false" ht="14.65" hidden="false" customHeight="false" outlineLevel="0" collapsed="false">
      <c r="A7" s="7" t="s">
        <v>118</v>
      </c>
      <c r="B7" s="7" t="s">
        <v>124</v>
      </c>
      <c r="C7" s="7" t="s">
        <v>118</v>
      </c>
      <c r="D7" s="7" t="n">
        <v>1988</v>
      </c>
      <c r="E7" s="7" t="n">
        <v>6574.39</v>
      </c>
      <c r="F7" s="7" t="n">
        <v>52117</v>
      </c>
      <c r="G7" s="7" t="n">
        <v>20639.31</v>
      </c>
      <c r="H7" s="7" t="n">
        <v>51304.57</v>
      </c>
      <c r="I7" s="7" t="n">
        <v>104100</v>
      </c>
      <c r="J7" s="7" t="n">
        <v>34119000</v>
      </c>
      <c r="K7" s="7" t="n">
        <v>536000000</v>
      </c>
      <c r="L7" s="7" t="n">
        <v>312000000</v>
      </c>
      <c r="M7" s="3" t="n">
        <v>92615</v>
      </c>
      <c r="N7" s="3" t="n">
        <v>88050</v>
      </c>
      <c r="O7" s="3" t="n">
        <v>180665</v>
      </c>
      <c r="P7" s="3" t="n">
        <v>7308</v>
      </c>
      <c r="Q7" s="3" t="n">
        <v>36948</v>
      </c>
      <c r="R7" s="3" t="n">
        <v>44256</v>
      </c>
      <c r="S7" s="3" t="n">
        <v>80658</v>
      </c>
      <c r="T7" s="3" t="n">
        <v>79953</v>
      </c>
      <c r="U7" s="3" t="n">
        <v>160611</v>
      </c>
      <c r="V7" s="3" t="n">
        <v>18067</v>
      </c>
      <c r="W7" s="3" t="n">
        <v>62885</v>
      </c>
      <c r="X7" s="3" t="n">
        <v>80952</v>
      </c>
      <c r="Y7" s="3" t="n">
        <v>173273</v>
      </c>
      <c r="Z7" s="3" t="n">
        <v>168003</v>
      </c>
      <c r="AA7" s="3" t="n">
        <v>341276</v>
      </c>
      <c r="AB7" s="3" t="n">
        <v>25375</v>
      </c>
      <c r="AC7" s="3" t="n">
        <v>99833</v>
      </c>
      <c r="AD7" s="3" t="n">
        <v>125208</v>
      </c>
      <c r="AE7" s="3" t="n">
        <v>768</v>
      </c>
      <c r="AF7" s="3" t="n">
        <f aca="false">+AG7-AE7</f>
        <v>65050</v>
      </c>
      <c r="AG7" s="3" t="n">
        <v>65818</v>
      </c>
      <c r="AH7" s="3" t="n">
        <v>186</v>
      </c>
      <c r="AI7" s="3" t="n">
        <v>216</v>
      </c>
      <c r="AJ7" s="3" t="n">
        <f aca="false">+AK7-AH7-AI7</f>
        <v>12501</v>
      </c>
      <c r="AK7" s="3" t="n">
        <v>12903</v>
      </c>
      <c r="AL7" s="3" t="n">
        <f aca="false">AG7+AK7</f>
        <v>78721</v>
      </c>
      <c r="AM7" s="3" t="n">
        <v>62</v>
      </c>
      <c r="AN7" s="3" t="n">
        <v>124</v>
      </c>
      <c r="AO7" s="3" t="n">
        <v>21</v>
      </c>
      <c r="AP7" s="3" t="n">
        <v>747</v>
      </c>
      <c r="AQ7" s="7" t="n">
        <v>79.3</v>
      </c>
      <c r="AR7" s="7" t="n">
        <v>5.3</v>
      </c>
      <c r="AS7" s="7" t="n">
        <v>15.4</v>
      </c>
      <c r="AT7" s="7" t="n">
        <v>92.7</v>
      </c>
      <c r="AU7" s="7" t="n">
        <v>3.9</v>
      </c>
      <c r="AV7" s="7" t="n">
        <v>3.4</v>
      </c>
      <c r="AW7" s="18" t="n">
        <v>0</v>
      </c>
      <c r="AX7" s="18" t="n">
        <v>0</v>
      </c>
      <c r="AY7" s="18" t="n">
        <v>0</v>
      </c>
      <c r="AZ7" s="18" t="n">
        <v>0</v>
      </c>
      <c r="BA7" s="18" t="n">
        <v>0</v>
      </c>
      <c r="BB7" s="18" t="n">
        <v>0</v>
      </c>
      <c r="BC7" s="3" t="n">
        <v>3661</v>
      </c>
      <c r="BD7" s="3" t="n">
        <v>8913</v>
      </c>
      <c r="BE7" s="3" t="n">
        <v>12574</v>
      </c>
      <c r="BF7" s="3" t="n">
        <v>3793</v>
      </c>
      <c r="BG7" s="3" t="n">
        <v>2406</v>
      </c>
      <c r="BH7" s="3" t="n">
        <v>12035</v>
      </c>
      <c r="BI7" s="3" t="n">
        <v>18234</v>
      </c>
      <c r="BJ7" s="11" t="n">
        <v>386491</v>
      </c>
      <c r="BK7" s="11" t="n">
        <v>179430</v>
      </c>
      <c r="BL7" s="11" t="n">
        <v>3453</v>
      </c>
      <c r="BM7" s="11" t="n">
        <v>569374</v>
      </c>
      <c r="BN7" s="10" t="n">
        <v>128060</v>
      </c>
      <c r="BO7" s="11" t="n">
        <v>236345</v>
      </c>
      <c r="BP7" s="11" t="n">
        <v>921</v>
      </c>
      <c r="BQ7" s="11" t="n">
        <v>365326</v>
      </c>
      <c r="BR7" s="10" t="n">
        <v>52531</v>
      </c>
      <c r="BS7" s="11" t="n">
        <v>96886</v>
      </c>
      <c r="BT7" s="11" t="n">
        <v>43258</v>
      </c>
      <c r="BU7" s="11" t="n">
        <v>63757</v>
      </c>
      <c r="BV7" s="11" t="n">
        <v>1191132</v>
      </c>
      <c r="BW7" s="2" t="n">
        <v>27380</v>
      </c>
      <c r="BX7" s="2" t="n">
        <v>28148</v>
      </c>
      <c r="BY7" s="2" t="n">
        <v>28.35</v>
      </c>
      <c r="BZ7" s="2" t="n">
        <v>2.48</v>
      </c>
      <c r="CA7" s="2" t="n">
        <v>0.362</v>
      </c>
      <c r="CB7" s="2" t="n">
        <v>0.79</v>
      </c>
      <c r="CC7" s="2" t="n">
        <v>201.17</v>
      </c>
      <c r="CD7" s="2" t="n">
        <v>3377</v>
      </c>
      <c r="CE7" s="2" t="n">
        <v>104091</v>
      </c>
      <c r="CF7" s="2" t="n">
        <v>32.4427664255315</v>
      </c>
      <c r="CG7" s="3" t="s">
        <v>93</v>
      </c>
    </row>
    <row r="8" customFormat="false" ht="14.65" hidden="false" customHeight="false" outlineLevel="0" collapsed="false">
      <c r="A8" s="7" t="s">
        <v>118</v>
      </c>
      <c r="B8" s="7" t="s">
        <v>125</v>
      </c>
      <c r="C8" s="7" t="s">
        <v>118</v>
      </c>
      <c r="D8" s="7" t="n">
        <v>1988</v>
      </c>
      <c r="E8" s="7" t="n">
        <v>7236.71</v>
      </c>
      <c r="F8" s="7" t="n">
        <v>70125</v>
      </c>
      <c r="G8" s="7" t="n">
        <v>17871.09</v>
      </c>
      <c r="H8" s="7" t="n">
        <v>46318.68</v>
      </c>
      <c r="I8" s="7" t="n">
        <v>5544</v>
      </c>
      <c r="J8" s="7" t="n">
        <v>20418000</v>
      </c>
      <c r="K8" s="7" t="n">
        <v>537000000</v>
      </c>
      <c r="L8" s="7" t="n">
        <v>259000000</v>
      </c>
      <c r="M8" s="3" t="n">
        <v>183530</v>
      </c>
      <c r="N8" s="3" t="n">
        <v>329367</v>
      </c>
      <c r="O8" s="3" t="n">
        <v>512897</v>
      </c>
      <c r="P8" s="3" t="n">
        <v>3246</v>
      </c>
      <c r="Q8" s="3" t="n">
        <v>26674</v>
      </c>
      <c r="R8" s="3" t="n">
        <v>29920</v>
      </c>
      <c r="S8" s="3" t="n">
        <v>30305</v>
      </c>
      <c r="T8" s="3" t="n">
        <v>44920</v>
      </c>
      <c r="U8" s="3" t="n">
        <v>75225</v>
      </c>
      <c r="V8" s="3" t="n">
        <v>1366</v>
      </c>
      <c r="W8" s="3" t="n">
        <v>18028</v>
      </c>
      <c r="X8" s="3" t="n">
        <v>19394</v>
      </c>
      <c r="Y8" s="3" t="n">
        <v>213835</v>
      </c>
      <c r="Z8" s="3" t="n">
        <v>374287</v>
      </c>
      <c r="AA8" s="3" t="n">
        <v>588122</v>
      </c>
      <c r="AB8" s="3" t="n">
        <v>4612</v>
      </c>
      <c r="AC8" s="3" t="n">
        <v>44702</v>
      </c>
      <c r="AD8" s="3" t="n">
        <v>49314</v>
      </c>
      <c r="AE8" s="3" t="n">
        <v>101</v>
      </c>
      <c r="AF8" s="3" t="n">
        <f aca="false">+AG8-AE8</f>
        <v>8713</v>
      </c>
      <c r="AG8" s="3" t="n">
        <v>8814</v>
      </c>
      <c r="AH8" s="3" t="n">
        <v>242</v>
      </c>
      <c r="AI8" s="3" t="n">
        <v>197</v>
      </c>
      <c r="AJ8" s="3" t="n">
        <f aca="false">+AK8-AH8-AI8</f>
        <v>11104</v>
      </c>
      <c r="AK8" s="3" t="n">
        <v>11543</v>
      </c>
      <c r="AL8" s="3" t="n">
        <f aca="false">AG8+AK8</f>
        <v>20357</v>
      </c>
      <c r="AM8" s="3" t="n">
        <v>168</v>
      </c>
      <c r="AN8" s="3" t="n">
        <v>74</v>
      </c>
      <c r="AO8" s="3" t="n">
        <v>22</v>
      </c>
      <c r="AP8" s="3" t="n">
        <v>79</v>
      </c>
      <c r="AQ8" s="7" t="n">
        <v>79.5</v>
      </c>
      <c r="AR8" s="7" t="n">
        <v>13.1</v>
      </c>
      <c r="AS8" s="7" t="n">
        <v>7.4</v>
      </c>
      <c r="AT8" s="7" t="n">
        <v>83.2</v>
      </c>
      <c r="AU8" s="7" t="n">
        <v>12</v>
      </c>
      <c r="AV8" s="7" t="n">
        <v>4.8</v>
      </c>
      <c r="AW8" s="18" t="n">
        <v>0</v>
      </c>
      <c r="AX8" s="18" t="n">
        <v>0</v>
      </c>
      <c r="AY8" s="18" t="n">
        <v>0</v>
      </c>
      <c r="AZ8" s="18" t="n">
        <v>0</v>
      </c>
      <c r="BA8" s="18" t="n">
        <v>0</v>
      </c>
      <c r="BB8" s="18" t="n">
        <v>1</v>
      </c>
      <c r="BC8" s="3" t="n">
        <v>1357</v>
      </c>
      <c r="BD8" s="3" t="n">
        <v>4711</v>
      </c>
      <c r="BE8" s="3" t="n">
        <v>6068</v>
      </c>
      <c r="BF8" s="3" t="n">
        <v>6758</v>
      </c>
      <c r="BG8" s="3" t="n">
        <v>2623</v>
      </c>
      <c r="BH8" s="3" t="n">
        <v>11010</v>
      </c>
      <c r="BI8" s="3" t="n">
        <v>20391</v>
      </c>
      <c r="BJ8" s="11" t="n">
        <v>691154</v>
      </c>
      <c r="BK8" s="11" t="n">
        <v>70521</v>
      </c>
      <c r="BL8" s="11" t="n">
        <v>0</v>
      </c>
      <c r="BM8" s="11" t="n">
        <v>761675</v>
      </c>
      <c r="BN8" s="10" t="n">
        <v>60753</v>
      </c>
      <c r="BO8" s="11" t="n">
        <v>156338</v>
      </c>
      <c r="BP8" s="11" t="n">
        <v>0</v>
      </c>
      <c r="BQ8" s="11" t="n">
        <v>217091</v>
      </c>
      <c r="BR8" s="10" t="n">
        <v>75613</v>
      </c>
      <c r="BS8" s="11" t="n">
        <v>17130</v>
      </c>
      <c r="BT8" s="11" t="n">
        <v>168579</v>
      </c>
      <c r="BU8" s="11" t="n">
        <v>206380</v>
      </c>
      <c r="BV8" s="11" t="n">
        <v>1446468</v>
      </c>
      <c r="BW8" s="2" t="n">
        <v>35320</v>
      </c>
      <c r="BX8" s="2" t="n">
        <v>36143</v>
      </c>
      <c r="BY8" s="2" t="n">
        <v>32.4</v>
      </c>
      <c r="BZ8" s="2" t="n">
        <v>5.33</v>
      </c>
      <c r="CA8" s="2" t="n">
        <v>0.631</v>
      </c>
      <c r="CB8" s="2" t="n">
        <v>0.887</v>
      </c>
      <c r="CC8" s="2" t="n">
        <v>336.99</v>
      </c>
      <c r="CD8" s="2" t="n">
        <v>3291</v>
      </c>
      <c r="CE8" s="2" t="n">
        <v>5544</v>
      </c>
      <c r="CF8" s="2" t="n">
        <v>593.614718614719</v>
      </c>
      <c r="CG8" s="3" t="s">
        <v>91</v>
      </c>
    </row>
    <row r="9" customFormat="false" ht="14.65" hidden="false" customHeight="false" outlineLevel="0" collapsed="false">
      <c r="A9" s="7" t="s">
        <v>118</v>
      </c>
      <c r="B9" s="7" t="s">
        <v>126</v>
      </c>
      <c r="C9" s="7" t="s">
        <v>118</v>
      </c>
      <c r="D9" s="7" t="n">
        <v>1988</v>
      </c>
      <c r="E9" s="7" t="n">
        <v>2112.78</v>
      </c>
      <c r="F9" s="7" t="n">
        <v>11427</v>
      </c>
      <c r="G9" s="7" t="n">
        <v>4681.46</v>
      </c>
      <c r="H9" s="7" t="n">
        <v>12209.28</v>
      </c>
      <c r="I9" s="7" t="n">
        <v>2489</v>
      </c>
      <c r="J9" s="7" t="n">
        <v>22363000</v>
      </c>
      <c r="K9" s="7" t="n">
        <v>157000000</v>
      </c>
      <c r="L9" s="7" t="n">
        <v>49904000</v>
      </c>
      <c r="M9" s="3" t="n">
        <v>22297</v>
      </c>
      <c r="N9" s="3" t="n">
        <v>87042</v>
      </c>
      <c r="O9" s="3" t="n">
        <v>109339</v>
      </c>
      <c r="P9" s="3" t="n">
        <v>3083</v>
      </c>
      <c r="Q9" s="3" t="n">
        <v>25363</v>
      </c>
      <c r="R9" s="3" t="n">
        <v>28446</v>
      </c>
      <c r="S9" s="3" t="n">
        <v>0</v>
      </c>
      <c r="T9" s="3" t="n">
        <v>96196</v>
      </c>
      <c r="U9" s="3" t="n">
        <v>96196</v>
      </c>
      <c r="V9" s="3" t="n">
        <v>0</v>
      </c>
      <c r="W9" s="3" t="n">
        <v>673</v>
      </c>
      <c r="X9" s="3" t="n">
        <v>673</v>
      </c>
      <c r="Y9" s="3" t="n">
        <v>22297</v>
      </c>
      <c r="Z9" s="3" t="n">
        <v>183238</v>
      </c>
      <c r="AA9" s="3" t="n">
        <v>205535</v>
      </c>
      <c r="AB9" s="3" t="n">
        <v>3083</v>
      </c>
      <c r="AC9" s="3" t="n">
        <v>26036</v>
      </c>
      <c r="AD9" s="3" t="n">
        <v>29119</v>
      </c>
      <c r="AE9" s="3" t="n">
        <v>0</v>
      </c>
      <c r="AF9" s="3" t="n">
        <f aca="false">+AG9-AE9</f>
        <v>3675</v>
      </c>
      <c r="AG9" s="3" t="n">
        <v>3675</v>
      </c>
      <c r="AH9" s="3" t="n">
        <v>41</v>
      </c>
      <c r="AI9" s="3" t="n">
        <v>9</v>
      </c>
      <c r="AJ9" s="3" t="n">
        <f aca="false">+AK9-AH9-AI9</f>
        <v>1819</v>
      </c>
      <c r="AK9" s="3" t="n">
        <v>1869</v>
      </c>
      <c r="AL9" s="3" t="n">
        <f aca="false">AG9+AK9</f>
        <v>5544</v>
      </c>
      <c r="AM9" s="3" t="n">
        <v>30</v>
      </c>
      <c r="AN9" s="3" t="n">
        <v>11</v>
      </c>
      <c r="AO9" s="3" t="n">
        <v>0</v>
      </c>
      <c r="AP9" s="3" t="n">
        <v>0</v>
      </c>
      <c r="AQ9" s="7" t="n">
        <v>100</v>
      </c>
      <c r="AR9" s="7" t="n">
        <v>0</v>
      </c>
      <c r="AS9" s="7" t="n">
        <v>0</v>
      </c>
      <c r="AT9" s="7" t="n">
        <v>63.5</v>
      </c>
      <c r="AU9" s="7" t="n">
        <v>25.2</v>
      </c>
      <c r="AV9" s="7" t="n">
        <v>11.3</v>
      </c>
      <c r="AW9" s="18" t="n">
        <v>0</v>
      </c>
      <c r="AX9" s="18" t="n">
        <v>0</v>
      </c>
      <c r="AY9" s="18" t="n">
        <v>0</v>
      </c>
      <c r="AZ9" s="18" t="n">
        <v>1</v>
      </c>
      <c r="BA9" s="18" t="n">
        <v>0</v>
      </c>
      <c r="BB9" s="18" t="n">
        <v>0</v>
      </c>
      <c r="BC9" s="3" t="n">
        <v>0</v>
      </c>
      <c r="BD9" s="3" t="n">
        <v>2685</v>
      </c>
      <c r="BE9" s="3" t="n">
        <v>2685</v>
      </c>
      <c r="BF9" s="3" t="n">
        <v>989</v>
      </c>
      <c r="BG9" s="3" t="n">
        <v>38</v>
      </c>
      <c r="BH9" s="3" t="n">
        <v>3180</v>
      </c>
      <c r="BI9" s="3" t="n">
        <v>4207</v>
      </c>
      <c r="BJ9" s="11" t="n">
        <v>193959</v>
      </c>
      <c r="BK9" s="11" t="n">
        <v>3375</v>
      </c>
      <c r="BL9" s="11" t="n">
        <v>14559</v>
      </c>
      <c r="BM9" s="11" t="n">
        <v>211893</v>
      </c>
      <c r="BN9" s="10" t="n">
        <v>55562</v>
      </c>
      <c r="BO9" s="11" t="n">
        <v>8148</v>
      </c>
      <c r="BP9" s="11" t="n">
        <v>0</v>
      </c>
      <c r="BQ9" s="11" t="n">
        <v>63710</v>
      </c>
      <c r="BR9" s="10" t="n">
        <v>50696</v>
      </c>
      <c r="BS9" s="11" t="n">
        <v>36496</v>
      </c>
      <c r="BT9" s="11" t="n">
        <v>46059</v>
      </c>
      <c r="BU9" s="11" t="n">
        <v>26331</v>
      </c>
      <c r="BV9" s="11" t="n">
        <v>435185</v>
      </c>
      <c r="BW9" s="2" t="n">
        <v>28593</v>
      </c>
      <c r="BX9" s="2" t="n">
        <v>29298</v>
      </c>
      <c r="BY9" s="2" t="n">
        <v>26.85</v>
      </c>
      <c r="BZ9" s="2" t="n">
        <v>3.4</v>
      </c>
      <c r="CA9" s="2" t="n">
        <v>0.632</v>
      </c>
      <c r="CB9" s="2" t="n">
        <v>0.632</v>
      </c>
      <c r="CC9" s="2" t="n">
        <v>261.13</v>
      </c>
      <c r="CD9" s="2" t="n">
        <v>680</v>
      </c>
      <c r="CE9" s="2" t="n">
        <v>2489</v>
      </c>
      <c r="CF9" s="2" t="n">
        <v>273.202089192447</v>
      </c>
      <c r="CG9" s="3" t="s">
        <v>95</v>
      </c>
    </row>
    <row r="10" customFormat="false" ht="14.65" hidden="false" customHeight="false" outlineLevel="0" collapsed="false">
      <c r="A10" s="7" t="s">
        <v>118</v>
      </c>
      <c r="B10" s="7" t="s">
        <v>127</v>
      </c>
      <c r="C10" s="7" t="s">
        <v>118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3" t="n">
        <v>21573</v>
      </c>
      <c r="N10" s="3" t="n">
        <v>86621</v>
      </c>
      <c r="O10" s="3" t="n">
        <v>108194</v>
      </c>
      <c r="P10" s="3" t="n">
        <v>1848</v>
      </c>
      <c r="Q10" s="3" t="n">
        <v>26106</v>
      </c>
      <c r="R10" s="3" t="n">
        <v>27954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21573</v>
      </c>
      <c r="Z10" s="3" t="n">
        <v>86621</v>
      </c>
      <c r="AA10" s="3" t="n">
        <v>108194</v>
      </c>
      <c r="AB10" s="3" t="n">
        <v>1848</v>
      </c>
      <c r="AC10" s="3" t="n">
        <v>26106</v>
      </c>
      <c r="AD10" s="3" t="n">
        <v>27954</v>
      </c>
      <c r="AE10" s="3" t="n">
        <v>0</v>
      </c>
      <c r="AF10" s="3" t="n">
        <f aca="false">+AG10-AE10</f>
        <v>0</v>
      </c>
      <c r="AG10" s="3" t="n">
        <v>0</v>
      </c>
      <c r="AH10" s="3" t="n">
        <v>14</v>
      </c>
      <c r="AI10" s="3" t="n">
        <v>19</v>
      </c>
      <c r="AJ10" s="3" t="n">
        <f aca="false">+AK10-AH10-AI10</f>
        <v>1074</v>
      </c>
      <c r="AK10" s="3" t="n">
        <v>1107</v>
      </c>
      <c r="AL10" s="3" t="n">
        <f aca="false">AG10+AK10</f>
        <v>1107</v>
      </c>
      <c r="AM10" s="3" t="n">
        <v>10</v>
      </c>
      <c r="AN10" s="3" t="n">
        <v>4</v>
      </c>
      <c r="AO10" s="3" t="n">
        <v>0</v>
      </c>
      <c r="AP10" s="3" t="n">
        <v>0</v>
      </c>
      <c r="AQ10" s="7" t="n">
        <v>100</v>
      </c>
      <c r="AR10" s="7" t="n">
        <v>0</v>
      </c>
      <c r="AS10" s="7" t="n">
        <v>0</v>
      </c>
      <c r="AT10" s="7" t="n">
        <v>97.1</v>
      </c>
      <c r="AU10" s="7" t="n">
        <v>2.6</v>
      </c>
      <c r="AV10" s="7" t="n">
        <v>0.300000000000006</v>
      </c>
      <c r="AW10" s="18" t="n">
        <v>0</v>
      </c>
      <c r="AX10" s="18" t="n">
        <v>0</v>
      </c>
      <c r="AY10" s="18" t="n">
        <v>0</v>
      </c>
      <c r="AZ10" s="18" t="n">
        <v>1</v>
      </c>
      <c r="BA10" s="18" t="n">
        <v>0</v>
      </c>
      <c r="BB10" s="18" t="n">
        <v>0</v>
      </c>
      <c r="BC10" s="3" t="n">
        <v>0</v>
      </c>
      <c r="BD10" s="3" t="n">
        <v>0</v>
      </c>
      <c r="BE10" s="3" t="n">
        <v>0</v>
      </c>
      <c r="BF10" s="3" t="n">
        <v>469</v>
      </c>
      <c r="BG10" s="3" t="n">
        <v>393</v>
      </c>
      <c r="BH10" s="3" t="n">
        <v>2700</v>
      </c>
      <c r="BI10" s="3" t="n">
        <v>3562</v>
      </c>
      <c r="BJ10" s="13" t="n">
        <v>0</v>
      </c>
      <c r="BK10" s="13" t="n">
        <v>101042</v>
      </c>
      <c r="BL10" s="13" t="n">
        <v>5176</v>
      </c>
      <c r="BM10" s="13" t="n">
        <v>106218</v>
      </c>
      <c r="BN10" s="12" t="n">
        <v>0</v>
      </c>
      <c r="BO10" s="13" t="n">
        <v>28524</v>
      </c>
      <c r="BP10" s="13" t="n">
        <v>12</v>
      </c>
      <c r="BQ10" s="13" t="n">
        <v>28536</v>
      </c>
      <c r="BR10" s="12" t="n">
        <v>19715</v>
      </c>
      <c r="BS10" s="13" t="n">
        <v>0</v>
      </c>
      <c r="BT10" s="13" t="n">
        <v>73135</v>
      </c>
      <c r="BU10" s="13" t="n">
        <v>46061</v>
      </c>
      <c r="BV10" s="13" t="n">
        <v>273665</v>
      </c>
      <c r="BW10" s="2" t="n">
        <v>43855</v>
      </c>
      <c r="BX10" s="2" t="n">
        <v>46872</v>
      </c>
      <c r="BY10" s="2" t="n">
        <v>54.49</v>
      </c>
      <c r="BZ10" s="2" t="n">
        <v>10.13</v>
      </c>
      <c r="CA10" s="2" t="n">
        <v>0.488</v>
      </c>
      <c r="CB10" s="2" t="n">
        <v>0.898</v>
      </c>
      <c r="CC10" s="2" t="n">
        <v>616</v>
      </c>
      <c r="CD10" s="2" t="n">
        <v>598</v>
      </c>
      <c r="CE10" s="2" t="n">
        <v>67</v>
      </c>
      <c r="CF10" s="2" t="n">
        <v>8925.37313432836</v>
      </c>
      <c r="CG10" s="3" t="s">
        <v>93</v>
      </c>
    </row>
    <row r="11" customFormat="false" ht="14.65" hidden="false" customHeight="false" outlineLevel="0" collapsed="false">
      <c r="A11" s="7" t="s">
        <v>118</v>
      </c>
      <c r="B11" s="7" t="s">
        <v>128</v>
      </c>
      <c r="C11" s="7" t="s">
        <v>118</v>
      </c>
      <c r="D11" s="7" t="n">
        <v>1988</v>
      </c>
      <c r="E11" s="7" t="n">
        <v>19987.9</v>
      </c>
      <c r="F11" s="7" t="n">
        <v>170213</v>
      </c>
      <c r="G11" s="7" t="n">
        <v>59950.37</v>
      </c>
      <c r="H11" s="7" t="n">
        <v>154057.4</v>
      </c>
      <c r="I11" s="7" t="n">
        <v>65758</v>
      </c>
      <c r="J11" s="7" t="n">
        <v>247000000</v>
      </c>
      <c r="K11" s="7" t="n">
        <v>1880000000</v>
      </c>
      <c r="L11" s="7" t="n">
        <v>801000000</v>
      </c>
      <c r="M11" s="3" t="n">
        <v>225241</v>
      </c>
      <c r="N11" s="3" t="n">
        <v>864268</v>
      </c>
      <c r="O11" s="3" t="n">
        <v>1089509</v>
      </c>
      <c r="P11" s="3" t="n">
        <v>3581</v>
      </c>
      <c r="Q11" s="3" t="n">
        <v>111397</v>
      </c>
      <c r="R11" s="3" t="n">
        <v>114978</v>
      </c>
      <c r="S11" s="3" t="n">
        <v>94234</v>
      </c>
      <c r="T11" s="3" t="n">
        <v>501226</v>
      </c>
      <c r="U11" s="3" t="n">
        <v>595460</v>
      </c>
      <c r="V11" s="3" t="n">
        <v>8772</v>
      </c>
      <c r="W11" s="3" t="n">
        <v>73647</v>
      </c>
      <c r="X11" s="3" t="n">
        <v>82419</v>
      </c>
      <c r="Y11" s="3" t="n">
        <v>319475</v>
      </c>
      <c r="Z11" s="3" t="n">
        <v>1365494</v>
      </c>
      <c r="AA11" s="3" t="n">
        <v>1684969</v>
      </c>
      <c r="AB11" s="3" t="n">
        <v>12353</v>
      </c>
      <c r="AC11" s="3" t="n">
        <v>185044</v>
      </c>
      <c r="AD11" s="3" t="n">
        <v>197397</v>
      </c>
      <c r="AE11" s="3" t="n">
        <v>1019</v>
      </c>
      <c r="AF11" s="3" t="n">
        <f aca="false">+AG11-AE11</f>
        <v>62611</v>
      </c>
      <c r="AG11" s="3" t="n">
        <v>63630</v>
      </c>
      <c r="AH11" s="3" t="n">
        <v>424</v>
      </c>
      <c r="AI11" s="3" t="n">
        <v>284</v>
      </c>
      <c r="AJ11" s="3" t="n">
        <f aca="false">+AK11-AH11-AI11</f>
        <v>48470</v>
      </c>
      <c r="AK11" s="3" t="n">
        <v>49178</v>
      </c>
      <c r="AL11" s="3" t="n">
        <f aca="false">AG11+AK11</f>
        <v>112808</v>
      </c>
      <c r="AM11" s="3" t="n">
        <v>205</v>
      </c>
      <c r="AN11" s="3" t="n">
        <v>219</v>
      </c>
      <c r="AO11" s="3" t="n">
        <v>100</v>
      </c>
      <c r="AP11" s="3" t="n">
        <v>919</v>
      </c>
      <c r="AQ11" s="7" t="n">
        <v>74.8</v>
      </c>
      <c r="AR11" s="7" t="n">
        <v>11.9</v>
      </c>
      <c r="AS11" s="7" t="n">
        <v>13.3</v>
      </c>
      <c r="AT11" s="7" t="n">
        <v>82.3</v>
      </c>
      <c r="AU11" s="7" t="n">
        <v>11.7</v>
      </c>
      <c r="AV11" s="7" t="n">
        <v>6</v>
      </c>
      <c r="AW11" s="18" t="n">
        <v>0</v>
      </c>
      <c r="AX11" s="18" t="n">
        <v>0</v>
      </c>
      <c r="AY11" s="18" t="n">
        <v>0</v>
      </c>
      <c r="AZ11" s="18" t="n">
        <v>1</v>
      </c>
      <c r="BA11" s="18" t="n">
        <v>0</v>
      </c>
      <c r="BB11" s="18" t="n">
        <v>0</v>
      </c>
      <c r="BC11" s="3" t="n">
        <v>10183</v>
      </c>
      <c r="BD11" s="3" t="n">
        <v>24818</v>
      </c>
      <c r="BE11" s="3" t="n">
        <v>35001</v>
      </c>
      <c r="BF11" s="3" t="n">
        <v>12034</v>
      </c>
      <c r="BG11" s="3" t="n">
        <v>4319</v>
      </c>
      <c r="BH11" s="3" t="n">
        <v>68514</v>
      </c>
      <c r="BI11" s="3" t="n">
        <v>84867</v>
      </c>
      <c r="BJ11" s="11" t="n">
        <v>1440203</v>
      </c>
      <c r="BK11" s="11" t="n">
        <v>681642</v>
      </c>
      <c r="BL11" s="11" t="n">
        <v>682</v>
      </c>
      <c r="BM11" s="11" t="n">
        <v>2122527</v>
      </c>
      <c r="BN11" s="10" t="n">
        <v>282812</v>
      </c>
      <c r="BO11" s="11" t="n">
        <v>366381</v>
      </c>
      <c r="BP11" s="11" t="n">
        <v>312</v>
      </c>
      <c r="BQ11" s="11" t="n">
        <v>649505</v>
      </c>
      <c r="BR11" s="10" t="n">
        <v>428351</v>
      </c>
      <c r="BS11" s="11" t="n">
        <v>271756</v>
      </c>
      <c r="BT11" s="11" t="n">
        <v>232516</v>
      </c>
      <c r="BU11" s="11" t="n">
        <v>153681</v>
      </c>
      <c r="BV11" s="11" t="n">
        <v>3858336</v>
      </c>
      <c r="BW11" s="2" t="n">
        <v>27116</v>
      </c>
      <c r="BX11" s="2" t="n">
        <v>27315</v>
      </c>
      <c r="BY11" s="2" t="n">
        <v>19.02</v>
      </c>
      <c r="BZ11" s="2" t="n">
        <v>2.51</v>
      </c>
      <c r="CA11" s="2" t="n">
        <v>0.377</v>
      </c>
      <c r="CB11" s="2" t="n">
        <v>0.66</v>
      </c>
      <c r="CC11" s="2" t="n">
        <v>320.1</v>
      </c>
      <c r="CD11" s="2" t="n">
        <v>13277</v>
      </c>
      <c r="CE11" s="2" t="n">
        <v>65758</v>
      </c>
      <c r="CF11" s="2" t="n">
        <v>201.906992305119</v>
      </c>
      <c r="CG11" s="3" t="s">
        <v>91</v>
      </c>
    </row>
    <row r="12" customFormat="false" ht="14.65" hidden="false" customHeight="false" outlineLevel="0" collapsed="false">
      <c r="A12" s="7" t="s">
        <v>118</v>
      </c>
      <c r="B12" s="7" t="s">
        <v>129</v>
      </c>
      <c r="C12" s="7" t="s">
        <v>118</v>
      </c>
      <c r="D12" s="7" t="n">
        <v>1988</v>
      </c>
      <c r="E12" s="7" t="n">
        <v>12440.08</v>
      </c>
      <c r="F12" s="7" t="n">
        <v>99059</v>
      </c>
      <c r="G12" s="7" t="n">
        <v>34290.46</v>
      </c>
      <c r="H12" s="7" t="n">
        <v>93342.2</v>
      </c>
      <c r="I12" s="7" t="n">
        <v>59441</v>
      </c>
      <c r="J12" s="7" t="n">
        <v>77468000</v>
      </c>
      <c r="K12" s="7" t="n">
        <v>741000000</v>
      </c>
      <c r="L12" s="7" t="n">
        <v>530000000</v>
      </c>
      <c r="M12" s="3" t="n">
        <v>169131</v>
      </c>
      <c r="N12" s="3" t="n">
        <v>255256</v>
      </c>
      <c r="O12" s="3" t="n">
        <v>424387</v>
      </c>
      <c r="P12" s="3" t="n">
        <v>6644</v>
      </c>
      <c r="Q12" s="3" t="n">
        <v>44293</v>
      </c>
      <c r="R12" s="3" t="n">
        <v>50937</v>
      </c>
      <c r="S12" s="3" t="n">
        <v>56115</v>
      </c>
      <c r="T12" s="3" t="n">
        <v>257194</v>
      </c>
      <c r="U12" s="3" t="n">
        <v>313309</v>
      </c>
      <c r="V12" s="3" t="n">
        <v>6110</v>
      </c>
      <c r="W12" s="3" t="n">
        <v>106470</v>
      </c>
      <c r="X12" s="3" t="n">
        <v>112580</v>
      </c>
      <c r="Y12" s="3" t="n">
        <v>225246</v>
      </c>
      <c r="Z12" s="3" t="n">
        <v>512450</v>
      </c>
      <c r="AA12" s="3" t="n">
        <v>737696</v>
      </c>
      <c r="AB12" s="3" t="n">
        <v>12754</v>
      </c>
      <c r="AC12" s="3" t="n">
        <v>150763</v>
      </c>
      <c r="AD12" s="3" t="n">
        <v>163517</v>
      </c>
      <c r="AE12" s="3" t="n">
        <v>809</v>
      </c>
      <c r="AF12" s="3" t="n">
        <f aca="false">+AG12-AE12</f>
        <v>83796</v>
      </c>
      <c r="AG12" s="3" t="n">
        <v>84605</v>
      </c>
      <c r="AH12" s="3" t="n">
        <v>434</v>
      </c>
      <c r="AI12" s="3" t="n">
        <v>167</v>
      </c>
      <c r="AJ12" s="3" t="n">
        <f aca="false">+AK12-AH12-AI12</f>
        <v>25673</v>
      </c>
      <c r="AK12" s="3" t="n">
        <v>26274</v>
      </c>
      <c r="AL12" s="3" t="n">
        <f aca="false">AG12+AK12</f>
        <v>110879</v>
      </c>
      <c r="AM12" s="3" t="n">
        <v>271</v>
      </c>
      <c r="AN12" s="3" t="n">
        <v>163</v>
      </c>
      <c r="AO12" s="3" t="n">
        <v>115</v>
      </c>
      <c r="AP12" s="3" t="n">
        <v>694</v>
      </c>
      <c r="AQ12" s="7" t="n">
        <v>61.1</v>
      </c>
      <c r="AR12" s="7" t="n">
        <v>19.3</v>
      </c>
      <c r="AS12" s="7" t="n">
        <v>19.6</v>
      </c>
      <c r="AT12" s="7" t="n">
        <v>66.7</v>
      </c>
      <c r="AU12" s="7" t="n">
        <v>24.9</v>
      </c>
      <c r="AV12" s="7" t="n">
        <v>8.4</v>
      </c>
      <c r="AW12" s="18" t="n">
        <v>0</v>
      </c>
      <c r="AX12" s="18" t="n">
        <v>0</v>
      </c>
      <c r="AY12" s="18" t="n">
        <v>0</v>
      </c>
      <c r="AZ12" s="18" t="n">
        <v>1</v>
      </c>
      <c r="BA12" s="18" t="n">
        <v>0</v>
      </c>
      <c r="BB12" s="18" t="n">
        <v>0</v>
      </c>
      <c r="BC12" s="3" t="n">
        <v>8419</v>
      </c>
      <c r="BD12" s="3" t="n">
        <v>23753</v>
      </c>
      <c r="BE12" s="3" t="n">
        <v>32172</v>
      </c>
      <c r="BF12" s="3" t="n">
        <v>11889</v>
      </c>
      <c r="BG12" s="3" t="n">
        <v>1646</v>
      </c>
      <c r="BH12" s="3" t="n">
        <v>32197</v>
      </c>
      <c r="BI12" s="3" t="n">
        <v>45732</v>
      </c>
      <c r="BJ12" s="11" t="n">
        <v>699149</v>
      </c>
      <c r="BK12" s="11" t="n">
        <v>174244</v>
      </c>
      <c r="BL12" s="11" t="n">
        <v>724</v>
      </c>
      <c r="BM12" s="11" t="n">
        <v>874117</v>
      </c>
      <c r="BN12" s="10" t="n">
        <v>185909</v>
      </c>
      <c r="BO12" s="11" t="n">
        <v>260614</v>
      </c>
      <c r="BP12" s="11" t="n">
        <v>15</v>
      </c>
      <c r="BQ12" s="11" t="n">
        <v>446538</v>
      </c>
      <c r="BR12" s="10" t="n">
        <v>113627</v>
      </c>
      <c r="BS12" s="11" t="n">
        <v>127181</v>
      </c>
      <c r="BT12" s="11" t="n">
        <v>46645</v>
      </c>
      <c r="BU12" s="11" t="n">
        <v>300966</v>
      </c>
      <c r="BV12" s="11" t="n">
        <v>1909074</v>
      </c>
      <c r="BW12" s="2" t="n">
        <v>24431</v>
      </c>
      <c r="BX12" s="2" t="n">
        <v>24890</v>
      </c>
      <c r="BY12" s="2" t="n">
        <v>30.47</v>
      </c>
      <c r="BZ12" s="2" t="n">
        <v>2.14</v>
      </c>
      <c r="CA12" s="2" t="n">
        <v>0.399</v>
      </c>
      <c r="CB12" s="2" t="n">
        <v>0.868</v>
      </c>
      <c r="CC12" s="2" t="n">
        <v>308.24</v>
      </c>
      <c r="CD12" s="2" t="n">
        <v>6623</v>
      </c>
      <c r="CE12" s="2" t="n">
        <v>59441</v>
      </c>
      <c r="CF12" s="2" t="n">
        <v>111.421409464848</v>
      </c>
      <c r="CG12" s="3" t="s">
        <v>96</v>
      </c>
    </row>
    <row r="13" customFormat="false" ht="14.65" hidden="false" customHeight="false" outlineLevel="0" collapsed="false">
      <c r="A13" s="7" t="s">
        <v>118</v>
      </c>
      <c r="B13" s="7" t="s">
        <v>130</v>
      </c>
      <c r="C13" s="7" t="s">
        <v>118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3" t="n">
        <v>191402</v>
      </c>
      <c r="N13" s="3" t="n">
        <v>39912</v>
      </c>
      <c r="O13" s="3" t="n">
        <v>231314</v>
      </c>
      <c r="P13" s="3" t="n">
        <v>1960</v>
      </c>
      <c r="Q13" s="3" t="n">
        <v>4246</v>
      </c>
      <c r="R13" s="3" t="n">
        <v>6206</v>
      </c>
      <c r="S13" s="3" t="n">
        <v>20447</v>
      </c>
      <c r="T13" s="3" t="n">
        <v>51985</v>
      </c>
      <c r="U13" s="3" t="n">
        <v>72432</v>
      </c>
      <c r="V13" s="3" t="n">
        <v>700</v>
      </c>
      <c r="W13" s="3" t="n">
        <v>8175</v>
      </c>
      <c r="X13" s="3" t="n">
        <v>8875</v>
      </c>
      <c r="Y13" s="3" t="n">
        <v>211849</v>
      </c>
      <c r="Z13" s="3" t="n">
        <v>91897</v>
      </c>
      <c r="AA13" s="3" t="n">
        <v>303746</v>
      </c>
      <c r="AB13" s="3" t="n">
        <v>2660</v>
      </c>
      <c r="AC13" s="3" t="n">
        <v>12421</v>
      </c>
      <c r="AD13" s="3" t="n">
        <v>15081</v>
      </c>
      <c r="AE13" s="3" t="n">
        <v>0</v>
      </c>
      <c r="AF13" s="3" t="n">
        <f aca="false">+AG13-AE13</f>
        <v>2307</v>
      </c>
      <c r="AG13" s="3" t="n">
        <v>2307</v>
      </c>
      <c r="AH13" s="3" t="n">
        <v>44</v>
      </c>
      <c r="AI13" s="3" t="n">
        <v>53</v>
      </c>
      <c r="AJ13" s="3" t="n">
        <f aca="false">+AK13-AH13-AI13</f>
        <v>1702</v>
      </c>
      <c r="AK13" s="3" t="n">
        <v>1799</v>
      </c>
      <c r="AL13" s="3" t="n">
        <f aca="false">AG13+AK13</f>
        <v>4106</v>
      </c>
      <c r="AM13" s="3" t="n">
        <v>38</v>
      </c>
      <c r="AN13" s="3" t="n">
        <v>6</v>
      </c>
      <c r="AO13" s="3" t="n">
        <v>0</v>
      </c>
      <c r="AP13" s="3" t="n">
        <v>0</v>
      </c>
      <c r="AQ13" s="7" t="n">
        <v>100</v>
      </c>
      <c r="AR13" s="7" t="n">
        <v>0</v>
      </c>
      <c r="AS13" s="7" t="n">
        <v>0</v>
      </c>
      <c r="AT13" s="7" t="n">
        <v>79.3</v>
      </c>
      <c r="AU13" s="7" t="n">
        <v>20.1</v>
      </c>
      <c r="AV13" s="7" t="n">
        <v>0.600000000000001</v>
      </c>
      <c r="AW13" s="18" t="n">
        <v>0</v>
      </c>
      <c r="AX13" s="18" t="n">
        <v>0</v>
      </c>
      <c r="AY13" s="18" t="n">
        <v>0</v>
      </c>
      <c r="AZ13" s="18" t="n">
        <v>0</v>
      </c>
      <c r="BA13" s="18" t="n">
        <v>0</v>
      </c>
      <c r="BB13" s="18" t="n">
        <v>0</v>
      </c>
      <c r="BC13" s="3" t="n">
        <v>0</v>
      </c>
      <c r="BD13" s="3" t="n">
        <v>2148</v>
      </c>
      <c r="BE13" s="3" t="n">
        <v>2148</v>
      </c>
      <c r="BF13" s="3" t="n">
        <v>1533</v>
      </c>
      <c r="BG13" s="3" t="n">
        <v>804</v>
      </c>
      <c r="BH13" s="3" t="n">
        <v>3581</v>
      </c>
      <c r="BI13" s="3" t="n">
        <v>5918</v>
      </c>
      <c r="BJ13" s="11" t="n">
        <v>316797</v>
      </c>
      <c r="BK13" s="11" t="n">
        <v>23410</v>
      </c>
      <c r="BL13" s="11" t="n">
        <v>263</v>
      </c>
      <c r="BM13" s="11" t="n">
        <v>340470</v>
      </c>
      <c r="BN13" s="10" t="n">
        <v>19793</v>
      </c>
      <c r="BO13" s="11" t="n">
        <v>50294</v>
      </c>
      <c r="BP13" s="11" t="n">
        <v>0</v>
      </c>
      <c r="BQ13" s="11" t="n">
        <v>70087</v>
      </c>
      <c r="BR13" s="10" t="n">
        <v>38613</v>
      </c>
      <c r="BS13" s="11" t="n">
        <v>16365</v>
      </c>
      <c r="BT13" s="11" t="n">
        <v>18968</v>
      </c>
      <c r="BU13" s="11" t="n">
        <v>22637</v>
      </c>
      <c r="BV13" s="11" t="n">
        <v>507140</v>
      </c>
      <c r="BW13" s="2" t="n">
        <v>30420</v>
      </c>
      <c r="BX13" s="2" t="n">
        <v>31136</v>
      </c>
      <c r="BY13" s="2" t="n">
        <v>65.14</v>
      </c>
      <c r="BZ13" s="2" t="n">
        <v>18.58</v>
      </c>
      <c r="CA13" s="2" t="n">
        <v>0.585</v>
      </c>
      <c r="CB13" s="2" t="n">
        <v>0.585</v>
      </c>
      <c r="CC13" s="2" t="n">
        <v>616.43</v>
      </c>
      <c r="CD13" s="2" t="n">
        <v>1135</v>
      </c>
      <c r="CE13" s="2" t="n">
        <v>6470</v>
      </c>
      <c r="CF13" s="2" t="n">
        <v>175.425038639876</v>
      </c>
      <c r="CG13" s="3" t="s">
        <v>91</v>
      </c>
    </row>
    <row r="14" customFormat="false" ht="14.65" hidden="false" customHeight="false" outlineLevel="0" collapsed="false">
      <c r="A14" s="7" t="s">
        <v>118</v>
      </c>
      <c r="B14" s="7" t="s">
        <v>131</v>
      </c>
      <c r="C14" s="7" t="s">
        <v>118</v>
      </c>
      <c r="D14" s="7" t="n">
        <v>1988</v>
      </c>
      <c r="E14" s="7" t="n">
        <v>3010.18</v>
      </c>
      <c r="F14" s="7" t="n">
        <v>12432</v>
      </c>
      <c r="G14" s="7" t="n">
        <v>5118.46</v>
      </c>
      <c r="H14" s="7" t="n">
        <v>14216.9</v>
      </c>
      <c r="I14" s="7" t="n">
        <v>83574</v>
      </c>
      <c r="J14" s="7" t="n">
        <v>5106000</v>
      </c>
      <c r="K14" s="7" t="n">
        <v>186000000</v>
      </c>
      <c r="L14" s="7" t="n">
        <v>116000000</v>
      </c>
      <c r="M14" s="3" t="n">
        <v>762</v>
      </c>
      <c r="N14" s="3" t="n">
        <v>7891</v>
      </c>
      <c r="O14" s="3" t="n">
        <v>8653</v>
      </c>
      <c r="P14" s="3" t="n">
        <v>346</v>
      </c>
      <c r="Q14" s="3" t="n">
        <v>824</v>
      </c>
      <c r="R14" s="3" t="n">
        <v>1170</v>
      </c>
      <c r="S14" s="3" t="n">
        <v>41236</v>
      </c>
      <c r="T14" s="3" t="n">
        <v>75044</v>
      </c>
      <c r="U14" s="3" t="n">
        <v>116280</v>
      </c>
      <c r="V14" s="3" t="n">
        <v>2307</v>
      </c>
      <c r="W14" s="3" t="n">
        <v>17980</v>
      </c>
      <c r="X14" s="3" t="n">
        <v>20287</v>
      </c>
      <c r="Y14" s="3" t="n">
        <v>41998</v>
      </c>
      <c r="Z14" s="3" t="n">
        <v>82935</v>
      </c>
      <c r="AA14" s="3" t="n">
        <v>124933</v>
      </c>
      <c r="AB14" s="3" t="n">
        <v>2653</v>
      </c>
      <c r="AC14" s="3" t="n">
        <v>18804</v>
      </c>
      <c r="AD14" s="3" t="n">
        <v>21457</v>
      </c>
      <c r="AE14" s="3" t="n">
        <v>532</v>
      </c>
      <c r="AF14" s="3" t="n">
        <f aca="false">+AG14-AE14</f>
        <v>54887</v>
      </c>
      <c r="AG14" s="3" t="n">
        <v>55419</v>
      </c>
      <c r="AH14" s="3" t="n">
        <v>79</v>
      </c>
      <c r="AI14" s="3" t="n">
        <v>0</v>
      </c>
      <c r="AJ14" s="3" t="n">
        <f aca="false">+AK14-AH14-AI14</f>
        <v>3337</v>
      </c>
      <c r="AK14" s="3" t="n">
        <v>3416</v>
      </c>
      <c r="AL14" s="3" t="n">
        <f aca="false">AG14+AK14</f>
        <v>58835</v>
      </c>
      <c r="AM14" s="3" t="n">
        <v>2</v>
      </c>
      <c r="AN14" s="3" t="n">
        <v>77</v>
      </c>
      <c r="AO14" s="3" t="n">
        <v>0</v>
      </c>
      <c r="AP14" s="3" t="n">
        <v>532</v>
      </c>
      <c r="AQ14" s="7" t="n">
        <v>47.8</v>
      </c>
      <c r="AR14" s="7" t="n">
        <v>31.5</v>
      </c>
      <c r="AS14" s="7" t="n">
        <v>20.7</v>
      </c>
      <c r="AT14" s="7" t="n">
        <v>61</v>
      </c>
      <c r="AU14" s="7" t="n">
        <v>31.3</v>
      </c>
      <c r="AV14" s="7" t="n">
        <v>7.7</v>
      </c>
      <c r="AW14" s="18" t="n">
        <v>0</v>
      </c>
      <c r="AX14" s="18" t="n">
        <v>0</v>
      </c>
      <c r="AY14" s="18" t="n">
        <v>0</v>
      </c>
      <c r="AZ14" s="18" t="n">
        <v>0</v>
      </c>
      <c r="BA14" s="18" t="n">
        <v>0</v>
      </c>
      <c r="BB14" s="18" t="n">
        <v>0</v>
      </c>
      <c r="BC14" s="3" t="n">
        <v>1667</v>
      </c>
      <c r="BD14" s="3" t="n">
        <v>5540</v>
      </c>
      <c r="BE14" s="3" t="n">
        <v>7207</v>
      </c>
      <c r="BF14" s="3" t="n">
        <v>741</v>
      </c>
      <c r="BG14" s="3" t="n">
        <v>0</v>
      </c>
      <c r="BH14" s="3" t="n">
        <v>2816</v>
      </c>
      <c r="BI14" s="3" t="n">
        <v>3557</v>
      </c>
      <c r="BJ14" s="13" t="n">
        <v>111528</v>
      </c>
      <c r="BK14" s="13" t="n">
        <v>42830</v>
      </c>
      <c r="BL14" s="13" t="n">
        <v>6609</v>
      </c>
      <c r="BM14" s="13" t="n">
        <v>160967</v>
      </c>
      <c r="BN14" s="12" t="n">
        <v>49296</v>
      </c>
      <c r="BO14" s="13" t="n">
        <v>84059</v>
      </c>
      <c r="BP14" s="13" t="n">
        <v>1212</v>
      </c>
      <c r="BQ14" s="13" t="n">
        <v>134567</v>
      </c>
      <c r="BR14" s="12" t="n">
        <v>43930</v>
      </c>
      <c r="BS14" s="13" t="n">
        <v>14397</v>
      </c>
      <c r="BT14" s="13" t="n">
        <v>341</v>
      </c>
      <c r="BU14" s="13" t="n">
        <v>545</v>
      </c>
      <c r="BV14" s="13" t="n">
        <v>354747</v>
      </c>
      <c r="BW14" s="2" t="n">
        <v>22276</v>
      </c>
      <c r="BX14" s="2" t="n">
        <v>23261</v>
      </c>
      <c r="BY14" s="2" t="n">
        <v>21.82</v>
      </c>
      <c r="BZ14" s="2" t="n">
        <v>2.79</v>
      </c>
      <c r="CA14" s="2" t="n">
        <v>0.482</v>
      </c>
      <c r="CB14" s="2" t="n">
        <v>0.714</v>
      </c>
      <c r="CC14" s="2" t="n">
        <v>242.58</v>
      </c>
      <c r="CD14" s="2" t="n">
        <v>1039</v>
      </c>
      <c r="CE14" s="2" t="n">
        <v>83574</v>
      </c>
      <c r="CF14" s="2" t="n">
        <v>12.4320961064446</v>
      </c>
      <c r="CG14" s="3" t="s">
        <v>93</v>
      </c>
    </row>
    <row r="15" customFormat="false" ht="14.65" hidden="false" customHeight="false" outlineLevel="0" collapsed="false">
      <c r="A15" s="7" t="s">
        <v>118</v>
      </c>
      <c r="B15" s="7" t="s">
        <v>132</v>
      </c>
      <c r="C15" s="7" t="s">
        <v>118</v>
      </c>
      <c r="D15" s="7" t="n">
        <v>1988</v>
      </c>
      <c r="E15" s="7" t="n">
        <v>28835.59</v>
      </c>
      <c r="F15" s="7" t="n">
        <v>200874</v>
      </c>
      <c r="G15" s="7" t="n">
        <v>66247.07</v>
      </c>
      <c r="H15" s="7" t="n">
        <v>179351</v>
      </c>
      <c r="I15" s="7" t="n">
        <v>57918</v>
      </c>
      <c r="J15" s="7" t="n">
        <v>45186000</v>
      </c>
      <c r="K15" s="7" t="n">
        <v>1580000000</v>
      </c>
      <c r="L15" s="7" t="n">
        <v>810000000</v>
      </c>
      <c r="M15" s="3" t="n">
        <v>365359</v>
      </c>
      <c r="N15" s="3" t="n">
        <v>334974</v>
      </c>
      <c r="O15" s="3" t="n">
        <v>700333</v>
      </c>
      <c r="P15" s="3" t="n">
        <v>36813</v>
      </c>
      <c r="Q15" s="3" t="n">
        <v>124266</v>
      </c>
      <c r="R15" s="3" t="n">
        <v>161079</v>
      </c>
      <c r="S15" s="3" t="n">
        <v>212843</v>
      </c>
      <c r="T15" s="3" t="n">
        <v>556580</v>
      </c>
      <c r="U15" s="3" t="n">
        <v>769423</v>
      </c>
      <c r="V15" s="3" t="n">
        <v>21476</v>
      </c>
      <c r="W15" s="3" t="n">
        <v>74427</v>
      </c>
      <c r="X15" s="3" t="n">
        <v>95903</v>
      </c>
      <c r="Y15" s="3" t="n">
        <v>578202</v>
      </c>
      <c r="Z15" s="3" t="n">
        <v>891554</v>
      </c>
      <c r="AA15" s="3" t="n">
        <v>1469756</v>
      </c>
      <c r="AB15" s="3" t="n">
        <v>58289</v>
      </c>
      <c r="AC15" s="3" t="n">
        <v>198693</v>
      </c>
      <c r="AD15" s="3" t="n">
        <v>256982</v>
      </c>
      <c r="AE15" s="3" t="n">
        <v>1421</v>
      </c>
      <c r="AF15" s="3" t="n">
        <f aca="false">+AG15-AE15</f>
        <v>100363</v>
      </c>
      <c r="AG15" s="3" t="n">
        <v>101784</v>
      </c>
      <c r="AH15" s="3" t="n">
        <v>630</v>
      </c>
      <c r="AI15" s="3" t="n">
        <v>80</v>
      </c>
      <c r="AJ15" s="3" t="n">
        <f aca="false">+AK15-AH15-AI15</f>
        <v>34471</v>
      </c>
      <c r="AK15" s="3" t="n">
        <v>35181</v>
      </c>
      <c r="AL15" s="3" t="n">
        <f aca="false">AG15+AK15</f>
        <v>136965</v>
      </c>
      <c r="AM15" s="3" t="n">
        <v>311</v>
      </c>
      <c r="AN15" s="3" t="n">
        <v>319</v>
      </c>
      <c r="AO15" s="3" t="n">
        <v>28</v>
      </c>
      <c r="AP15" s="3" t="n">
        <v>1393</v>
      </c>
      <c r="AQ15" s="7" t="n">
        <v>64.7</v>
      </c>
      <c r="AR15" s="7" t="n">
        <v>12.8</v>
      </c>
      <c r="AS15" s="7" t="n">
        <v>22.5</v>
      </c>
      <c r="AT15" s="7" t="n">
        <v>78.1</v>
      </c>
      <c r="AU15" s="7" t="n">
        <v>14.9</v>
      </c>
      <c r="AV15" s="7" t="n">
        <v>7.00000000000001</v>
      </c>
      <c r="AW15" s="18" t="n">
        <v>0</v>
      </c>
      <c r="AX15" s="18" t="n">
        <v>0</v>
      </c>
      <c r="AY15" s="18" t="n">
        <v>0</v>
      </c>
      <c r="AZ15" s="18" t="n">
        <v>0</v>
      </c>
      <c r="BA15" s="18" t="n">
        <v>1</v>
      </c>
      <c r="BB15" s="18" t="n">
        <v>0</v>
      </c>
      <c r="BC15" s="3" t="n">
        <v>8428</v>
      </c>
      <c r="BD15" s="3" t="n">
        <v>19826</v>
      </c>
      <c r="BE15" s="3" t="n">
        <v>28254</v>
      </c>
      <c r="BF15" s="3" t="n">
        <v>14447</v>
      </c>
      <c r="BG15" s="3" t="n">
        <v>1047</v>
      </c>
      <c r="BH15" s="3" t="n">
        <v>43894</v>
      </c>
      <c r="BI15" s="3" t="n">
        <v>59388</v>
      </c>
      <c r="BJ15" s="11" t="n">
        <v>1443338</v>
      </c>
      <c r="BK15" s="11" t="n">
        <v>507931</v>
      </c>
      <c r="BL15" s="11" t="n">
        <v>56</v>
      </c>
      <c r="BM15" s="11" t="n">
        <v>1951325</v>
      </c>
      <c r="BN15" s="10" t="n">
        <v>291073</v>
      </c>
      <c r="BO15" s="11" t="n">
        <v>701587</v>
      </c>
      <c r="BP15" s="11" t="n">
        <v>490</v>
      </c>
      <c r="BQ15" s="11" t="n">
        <v>993150</v>
      </c>
      <c r="BR15" s="10" t="n">
        <v>260011</v>
      </c>
      <c r="BS15" s="11" t="n">
        <v>126439</v>
      </c>
      <c r="BT15" s="11" t="n">
        <v>129070</v>
      </c>
      <c r="BU15" s="11" t="n">
        <v>115485</v>
      </c>
      <c r="BV15" s="11" t="n">
        <v>3575480</v>
      </c>
      <c r="BW15" s="2" t="n">
        <v>29712</v>
      </c>
      <c r="BX15" s="2" t="n">
        <v>30507</v>
      </c>
      <c r="BY15" s="2" t="n">
        <v>29.97</v>
      </c>
      <c r="BZ15" s="2" t="n">
        <v>4.26</v>
      </c>
      <c r="CA15" s="2" t="n">
        <v>0.605</v>
      </c>
      <c r="CB15" s="2" t="n">
        <v>0.868</v>
      </c>
      <c r="CC15" s="2" t="n">
        <v>387.64</v>
      </c>
      <c r="CD15" s="2" t="n">
        <v>11543</v>
      </c>
      <c r="CE15" s="2" t="n">
        <v>57918</v>
      </c>
      <c r="CF15" s="2" t="n">
        <v>199.299008943679</v>
      </c>
      <c r="CG15" s="3" t="s">
        <v>94</v>
      </c>
    </row>
    <row r="16" customFormat="false" ht="14.65" hidden="false" customHeight="false" outlineLevel="0" collapsed="false">
      <c r="A16" s="7" t="s">
        <v>118</v>
      </c>
      <c r="B16" s="7" t="s">
        <v>133</v>
      </c>
      <c r="C16" s="7" t="s">
        <v>118</v>
      </c>
      <c r="D16" s="7" t="n">
        <v>1988</v>
      </c>
      <c r="E16" s="7" t="n">
        <v>10713.72</v>
      </c>
      <c r="F16" s="7" t="n">
        <v>82918</v>
      </c>
      <c r="G16" s="7" t="n">
        <v>25296.76</v>
      </c>
      <c r="H16" s="7" t="n">
        <v>93894.82</v>
      </c>
      <c r="I16" s="7" t="n">
        <v>36420</v>
      </c>
      <c r="J16" s="7" t="n">
        <v>15829000</v>
      </c>
      <c r="K16" s="7" t="n">
        <v>538000000</v>
      </c>
      <c r="L16" s="7" t="n">
        <v>413000000</v>
      </c>
      <c r="M16" s="3" t="n">
        <v>92677</v>
      </c>
      <c r="N16" s="3" t="n">
        <v>234936</v>
      </c>
      <c r="O16" s="3" t="n">
        <v>327613</v>
      </c>
      <c r="P16" s="3" t="n">
        <v>8989</v>
      </c>
      <c r="Q16" s="3" t="n">
        <v>26980</v>
      </c>
      <c r="R16" s="3" t="n">
        <v>35969</v>
      </c>
      <c r="S16" s="3" t="n">
        <v>130626</v>
      </c>
      <c r="T16" s="3" t="n">
        <v>177392</v>
      </c>
      <c r="U16" s="3" t="n">
        <v>308018</v>
      </c>
      <c r="V16" s="3" t="n">
        <v>38619</v>
      </c>
      <c r="W16" s="3" t="n">
        <v>114821</v>
      </c>
      <c r="X16" s="3" t="n">
        <v>153440</v>
      </c>
      <c r="Y16" s="3" t="n">
        <v>223303</v>
      </c>
      <c r="Z16" s="3" t="n">
        <v>412328</v>
      </c>
      <c r="AA16" s="3" t="n">
        <v>635631</v>
      </c>
      <c r="AB16" s="3" t="n">
        <v>47608</v>
      </c>
      <c r="AC16" s="3" t="n">
        <v>141801</v>
      </c>
      <c r="AD16" s="3" t="n">
        <v>189409</v>
      </c>
      <c r="AE16" s="3" t="n">
        <v>825</v>
      </c>
      <c r="AF16" s="3" t="n">
        <f aca="false">+AG16-AE16</f>
        <v>72287</v>
      </c>
      <c r="AG16" s="3" t="n">
        <v>73112</v>
      </c>
      <c r="AH16" s="3" t="n">
        <v>313</v>
      </c>
      <c r="AI16" s="3" t="n">
        <v>135</v>
      </c>
      <c r="AJ16" s="3" t="n">
        <f aca="false">+AK16-AH16-AI16</f>
        <v>18814</v>
      </c>
      <c r="AK16" s="3" t="n">
        <v>19262</v>
      </c>
      <c r="AL16" s="3" t="n">
        <f aca="false">AG16+AK16</f>
        <v>92374</v>
      </c>
      <c r="AM16" s="3" t="n">
        <v>127</v>
      </c>
      <c r="AN16" s="3" t="n">
        <v>186</v>
      </c>
      <c r="AO16" s="3" t="n">
        <v>37</v>
      </c>
      <c r="AP16" s="3" t="n">
        <v>788</v>
      </c>
      <c r="AQ16" s="7" t="n">
        <v>59.2</v>
      </c>
      <c r="AR16" s="7" t="n">
        <v>16.3</v>
      </c>
      <c r="AS16" s="7" t="n">
        <v>24.5</v>
      </c>
      <c r="AT16" s="7" t="n">
        <v>68.7</v>
      </c>
      <c r="AU16" s="7" t="n">
        <v>16.8</v>
      </c>
      <c r="AV16" s="7" t="n">
        <v>14.5</v>
      </c>
      <c r="AW16" s="18" t="n">
        <v>0</v>
      </c>
      <c r="AX16" s="18" t="n">
        <v>0</v>
      </c>
      <c r="AY16" s="18" t="n">
        <v>0</v>
      </c>
      <c r="AZ16" s="18" t="n">
        <v>0</v>
      </c>
      <c r="BA16" s="18" t="n">
        <v>1</v>
      </c>
      <c r="BB16" s="18" t="n">
        <v>0</v>
      </c>
      <c r="BC16" s="3" t="n">
        <v>6646</v>
      </c>
      <c r="BD16" s="3" t="n">
        <v>22606</v>
      </c>
      <c r="BE16" s="3" t="n">
        <v>29252</v>
      </c>
      <c r="BF16" s="3" t="n">
        <v>5537</v>
      </c>
      <c r="BG16" s="3" t="n">
        <v>774</v>
      </c>
      <c r="BH16" s="3" t="n">
        <v>21509</v>
      </c>
      <c r="BI16" s="3" t="n">
        <v>27820</v>
      </c>
      <c r="BJ16" s="11" t="n">
        <v>567006</v>
      </c>
      <c r="BK16" s="11" t="n">
        <v>218588</v>
      </c>
      <c r="BL16" s="11" t="n">
        <v>0</v>
      </c>
      <c r="BM16" s="11" t="n">
        <v>785594</v>
      </c>
      <c r="BN16" s="10" t="n">
        <v>201342</v>
      </c>
      <c r="BO16" s="11" t="n">
        <v>214625</v>
      </c>
      <c r="BP16" s="11" t="n">
        <v>510</v>
      </c>
      <c r="BQ16" s="11" t="n">
        <v>416477</v>
      </c>
      <c r="BR16" s="10" t="n">
        <v>195916</v>
      </c>
      <c r="BS16" s="11" t="n">
        <v>41838</v>
      </c>
      <c r="BT16" s="11" t="n">
        <v>52231</v>
      </c>
      <c r="BU16" s="11" t="n">
        <v>12687</v>
      </c>
      <c r="BV16" s="11" t="n">
        <v>1504743</v>
      </c>
      <c r="BW16" s="2" t="n">
        <v>25309</v>
      </c>
      <c r="BX16" s="2" t="n">
        <v>25876</v>
      </c>
      <c r="BY16" s="2" t="n">
        <v>22.9</v>
      </c>
      <c r="BZ16" s="2" t="n">
        <v>6.97</v>
      </c>
      <c r="CA16" s="2" t="n">
        <v>0.474</v>
      </c>
      <c r="CB16" s="2" t="n">
        <v>0.811</v>
      </c>
      <c r="CC16" s="2" t="n">
        <v>295.89</v>
      </c>
      <c r="CD16" s="2" t="n">
        <v>5610</v>
      </c>
      <c r="CE16" s="2" t="n">
        <v>36420</v>
      </c>
      <c r="CF16" s="2" t="n">
        <v>154.036243822076</v>
      </c>
      <c r="CG16" s="3" t="s">
        <v>93</v>
      </c>
    </row>
    <row r="17" customFormat="false" ht="14.65" hidden="false" customHeight="false" outlineLevel="0" collapsed="false">
      <c r="A17" s="7" t="s">
        <v>118</v>
      </c>
      <c r="B17" s="7" t="s">
        <v>134</v>
      </c>
      <c r="C17" s="7" t="s">
        <v>118</v>
      </c>
      <c r="D17" s="7" t="n">
        <v>1988</v>
      </c>
      <c r="E17" s="7" t="n">
        <v>10535.56</v>
      </c>
      <c r="F17" s="7" t="n">
        <v>40546</v>
      </c>
      <c r="G17" s="7" t="n">
        <v>18590.01</v>
      </c>
      <c r="H17" s="7" t="n">
        <v>45936.2</v>
      </c>
      <c r="I17" s="7" t="n">
        <v>56276</v>
      </c>
      <c r="J17" s="7" t="n">
        <v>14834000</v>
      </c>
      <c r="K17" s="7" t="n">
        <v>451000000</v>
      </c>
      <c r="L17" s="7" t="n">
        <v>357000000</v>
      </c>
      <c r="M17" s="3" t="n">
        <v>43819</v>
      </c>
      <c r="N17" s="3" t="n">
        <v>76501</v>
      </c>
      <c r="O17" s="3" t="n">
        <v>120320</v>
      </c>
      <c r="P17" s="3" t="n">
        <v>3325</v>
      </c>
      <c r="Q17" s="3" t="n">
        <v>5805</v>
      </c>
      <c r="R17" s="3" t="n">
        <v>9130</v>
      </c>
      <c r="S17" s="3" t="n">
        <v>72276</v>
      </c>
      <c r="T17" s="3" t="n">
        <v>220044</v>
      </c>
      <c r="U17" s="3" t="n">
        <v>292320</v>
      </c>
      <c r="V17" s="3" t="n">
        <v>12509</v>
      </c>
      <c r="W17" s="3" t="n">
        <v>37006</v>
      </c>
      <c r="X17" s="3" t="n">
        <v>49515</v>
      </c>
      <c r="Y17" s="3" t="n">
        <v>116095</v>
      </c>
      <c r="Z17" s="3" t="n">
        <v>296545</v>
      </c>
      <c r="AA17" s="3" t="n">
        <v>412640</v>
      </c>
      <c r="AB17" s="3" t="n">
        <v>15834</v>
      </c>
      <c r="AC17" s="3" t="n">
        <v>42811</v>
      </c>
      <c r="AD17" s="3" t="n">
        <v>58645</v>
      </c>
      <c r="AE17" s="3" t="n">
        <v>636</v>
      </c>
      <c r="AF17" s="3" t="n">
        <f aca="false">+AG17-AE17</f>
        <v>102854</v>
      </c>
      <c r="AG17" s="3" t="n">
        <v>103490</v>
      </c>
      <c r="AH17" s="3" t="n">
        <v>147</v>
      </c>
      <c r="AI17" s="3" t="n">
        <v>0</v>
      </c>
      <c r="AJ17" s="3" t="n">
        <f aca="false">+AK17-AH17-AI17</f>
        <v>9071</v>
      </c>
      <c r="AK17" s="3" t="n">
        <v>9218</v>
      </c>
      <c r="AL17" s="3" t="n">
        <f aca="false">AG17+AK17</f>
        <v>112708</v>
      </c>
      <c r="AM17" s="3" t="n">
        <v>45</v>
      </c>
      <c r="AN17" s="3" t="n">
        <v>102</v>
      </c>
      <c r="AO17" s="3" t="n">
        <v>30</v>
      </c>
      <c r="AP17" s="3" t="n">
        <v>606</v>
      </c>
      <c r="AQ17" s="7" t="n">
        <v>58.5</v>
      </c>
      <c r="AR17" s="7" t="n">
        <v>13.3</v>
      </c>
      <c r="AS17" s="7" t="n">
        <v>28.2</v>
      </c>
      <c r="AT17" s="7" t="n">
        <v>71.8</v>
      </c>
      <c r="AU17" s="7" t="n">
        <v>12.9</v>
      </c>
      <c r="AV17" s="7" t="n">
        <v>15.3</v>
      </c>
      <c r="AW17" s="18" t="n">
        <v>0</v>
      </c>
      <c r="AX17" s="18" t="n">
        <v>0</v>
      </c>
      <c r="AY17" s="18" t="n">
        <v>0</v>
      </c>
      <c r="AZ17" s="18" t="n">
        <v>0</v>
      </c>
      <c r="BA17" s="18" t="n">
        <v>1</v>
      </c>
      <c r="BB17" s="18" t="n">
        <v>0</v>
      </c>
      <c r="BC17" s="3" t="n">
        <v>3406</v>
      </c>
      <c r="BD17" s="3" t="n">
        <v>11958</v>
      </c>
      <c r="BE17" s="3" t="n">
        <v>15364</v>
      </c>
      <c r="BF17" s="3" t="n">
        <v>1554</v>
      </c>
      <c r="BG17" s="3" t="n">
        <v>0</v>
      </c>
      <c r="BH17" s="3" t="n">
        <v>7008</v>
      </c>
      <c r="BI17" s="3" t="n">
        <v>8562</v>
      </c>
      <c r="BJ17" s="11" t="n">
        <v>400691</v>
      </c>
      <c r="BK17" s="11" t="n">
        <v>225814</v>
      </c>
      <c r="BL17" s="11" t="n">
        <v>9</v>
      </c>
      <c r="BM17" s="11" t="n">
        <v>626514</v>
      </c>
      <c r="BN17" s="10" t="n">
        <v>100801</v>
      </c>
      <c r="BO17" s="11" t="n">
        <v>317012</v>
      </c>
      <c r="BP17" s="11" t="n">
        <v>25</v>
      </c>
      <c r="BQ17" s="11" t="n">
        <v>417838</v>
      </c>
      <c r="BR17" s="10" t="n">
        <v>95273</v>
      </c>
      <c r="BS17" s="11" t="n">
        <v>66895</v>
      </c>
      <c r="BT17" s="11" t="n">
        <v>23439</v>
      </c>
      <c r="BU17" s="11" t="n">
        <v>53258</v>
      </c>
      <c r="BV17" s="11" t="n">
        <v>1283217</v>
      </c>
      <c r="BW17" s="2" t="n">
        <v>24183</v>
      </c>
      <c r="BX17" s="2" t="n">
        <v>24735</v>
      </c>
      <c r="BY17" s="2" t="n">
        <v>22.93</v>
      </c>
      <c r="BZ17" s="2" t="n">
        <v>2.17</v>
      </c>
      <c r="CA17" s="2" t="n">
        <v>0.43</v>
      </c>
      <c r="CB17" s="2" t="n">
        <v>0.782</v>
      </c>
      <c r="CC17" s="2" t="n">
        <v>242.23</v>
      </c>
      <c r="CD17" s="2" t="n">
        <v>2795</v>
      </c>
      <c r="CE17" s="2" t="n">
        <v>56276</v>
      </c>
      <c r="CF17" s="2" t="n">
        <v>49.6659321913427</v>
      </c>
      <c r="CG17" s="3" t="s">
        <v>93</v>
      </c>
    </row>
    <row r="18" customFormat="false" ht="14.65" hidden="false" customHeight="false" outlineLevel="0" collapsed="false">
      <c r="A18" s="7" t="s">
        <v>118</v>
      </c>
      <c r="B18" s="7" t="s">
        <v>135</v>
      </c>
      <c r="C18" s="7" t="s">
        <v>118</v>
      </c>
      <c r="D18" s="7" t="n">
        <v>1988</v>
      </c>
      <c r="E18" s="7" t="n">
        <v>7667.17</v>
      </c>
      <c r="F18" s="7" t="n">
        <v>39640</v>
      </c>
      <c r="G18" s="7" t="n">
        <v>15429.52</v>
      </c>
      <c r="H18" s="7" t="n">
        <v>52841.45</v>
      </c>
      <c r="I18" s="7" t="n">
        <v>82282</v>
      </c>
      <c r="J18" s="7" t="n">
        <v>5351000</v>
      </c>
      <c r="K18" s="7" t="n">
        <v>324000000</v>
      </c>
      <c r="L18" s="7" t="n">
        <v>334000000</v>
      </c>
      <c r="M18" s="3" t="n">
        <v>42397</v>
      </c>
      <c r="N18" s="3" t="n">
        <v>72203</v>
      </c>
      <c r="O18" s="3" t="n">
        <v>114600</v>
      </c>
      <c r="P18" s="3" t="n">
        <v>14987</v>
      </c>
      <c r="Q18" s="3" t="n">
        <v>16041</v>
      </c>
      <c r="R18" s="3" t="n">
        <v>31028</v>
      </c>
      <c r="S18" s="3" t="n">
        <v>34629</v>
      </c>
      <c r="T18" s="3" t="n">
        <v>284369</v>
      </c>
      <c r="U18" s="3" t="n">
        <v>318998</v>
      </c>
      <c r="V18" s="3" t="n">
        <v>17531</v>
      </c>
      <c r="W18" s="3" t="n">
        <v>41016</v>
      </c>
      <c r="X18" s="3" t="n">
        <v>58547</v>
      </c>
      <c r="Y18" s="3" t="n">
        <v>77026</v>
      </c>
      <c r="Z18" s="3" t="n">
        <v>356572</v>
      </c>
      <c r="AA18" s="3" t="n">
        <v>433598</v>
      </c>
      <c r="AB18" s="3" t="n">
        <v>32518</v>
      </c>
      <c r="AC18" s="3" t="n">
        <v>57057</v>
      </c>
      <c r="AD18" s="3" t="n">
        <v>89575</v>
      </c>
      <c r="AE18" s="3" t="n">
        <v>698</v>
      </c>
      <c r="AF18" s="3" t="n">
        <f aca="false">+AG18-AE18</f>
        <v>122978</v>
      </c>
      <c r="AG18" s="3" t="n">
        <v>123676</v>
      </c>
      <c r="AH18" s="3" t="n">
        <v>173</v>
      </c>
      <c r="AI18" s="3" t="n">
        <v>128</v>
      </c>
      <c r="AJ18" s="3" t="n">
        <f aca="false">+AK18-AH18-AI18</f>
        <v>9279</v>
      </c>
      <c r="AK18" s="3" t="n">
        <v>9580</v>
      </c>
      <c r="AL18" s="3" t="n">
        <f aca="false">AG18+AK18</f>
        <v>133256</v>
      </c>
      <c r="AM18" s="3" t="n">
        <v>73</v>
      </c>
      <c r="AN18" s="3" t="n">
        <v>100</v>
      </c>
      <c r="AO18" s="3" t="n">
        <v>0</v>
      </c>
      <c r="AP18" s="3" t="n">
        <v>698</v>
      </c>
      <c r="AQ18" s="7" t="n">
        <v>62.8</v>
      </c>
      <c r="AR18" s="7" t="n">
        <v>18</v>
      </c>
      <c r="AS18" s="7" t="n">
        <v>19.2</v>
      </c>
      <c r="AT18" s="7" t="n">
        <v>69.1</v>
      </c>
      <c r="AU18" s="7" t="n">
        <v>25.5</v>
      </c>
      <c r="AV18" s="7" t="n">
        <v>5.40000000000001</v>
      </c>
      <c r="AW18" s="18" t="n">
        <v>0</v>
      </c>
      <c r="AX18" s="18" t="n">
        <v>0</v>
      </c>
      <c r="AY18" s="18" t="n">
        <v>0</v>
      </c>
      <c r="AZ18" s="18" t="n">
        <v>0</v>
      </c>
      <c r="BA18" s="18" t="n">
        <v>1</v>
      </c>
      <c r="BB18" s="18" t="n">
        <v>0</v>
      </c>
      <c r="BC18" s="3" t="n">
        <v>2573</v>
      </c>
      <c r="BD18" s="3" t="n">
        <v>10317</v>
      </c>
      <c r="BE18" s="3" t="n">
        <v>12890</v>
      </c>
      <c r="BF18" s="3" t="n">
        <v>2233</v>
      </c>
      <c r="BG18" s="3" t="n">
        <v>905</v>
      </c>
      <c r="BH18" s="3" t="n">
        <v>8135</v>
      </c>
      <c r="BI18" s="3" t="n">
        <v>11273</v>
      </c>
      <c r="BJ18" s="13" t="n">
        <v>352267</v>
      </c>
      <c r="BK18" s="13" t="n">
        <v>112971</v>
      </c>
      <c r="BL18" s="13" t="n">
        <v>2</v>
      </c>
      <c r="BM18" s="13" t="n">
        <v>465240</v>
      </c>
      <c r="BN18" s="12" t="n">
        <v>81227</v>
      </c>
      <c r="BO18" s="13" t="n">
        <v>195447</v>
      </c>
      <c r="BP18" s="13" t="n">
        <v>490</v>
      </c>
      <c r="BQ18" s="13" t="n">
        <v>277164</v>
      </c>
      <c r="BR18" s="12" t="n">
        <v>183109</v>
      </c>
      <c r="BS18" s="13" t="n">
        <v>275074</v>
      </c>
      <c r="BT18" s="13" t="n">
        <v>44942</v>
      </c>
      <c r="BU18" s="13" t="n">
        <v>142628</v>
      </c>
      <c r="BV18" s="13" t="n">
        <v>1388157</v>
      </c>
      <c r="BW18" s="2" t="n">
        <v>22923</v>
      </c>
      <c r="BX18" s="2" t="n">
        <v>23243</v>
      </c>
      <c r="BY18" s="2" t="n">
        <v>24.42</v>
      </c>
      <c r="BZ18" s="2" t="n">
        <v>2.15</v>
      </c>
      <c r="CA18" s="2" t="n">
        <v>0.553</v>
      </c>
      <c r="CB18" s="2" t="n">
        <v>0.755</v>
      </c>
      <c r="CC18" s="2" t="n">
        <v>279.65</v>
      </c>
      <c r="CD18" s="2" t="n">
        <v>2495</v>
      </c>
      <c r="CE18" s="2" t="n">
        <v>82282</v>
      </c>
      <c r="CF18" s="2" t="n">
        <v>30.3225492817384</v>
      </c>
      <c r="CG18" s="3" t="s">
        <v>93</v>
      </c>
    </row>
    <row r="19" customFormat="false" ht="14.65" hidden="false" customHeight="false" outlineLevel="0" collapsed="false">
      <c r="A19" s="7" t="s">
        <v>118</v>
      </c>
      <c r="B19" s="7" t="s">
        <v>136</v>
      </c>
      <c r="C19" s="7" t="s">
        <v>118</v>
      </c>
      <c r="D19" s="7" t="n">
        <v>1988</v>
      </c>
      <c r="E19" s="7" t="n">
        <v>12137.85</v>
      </c>
      <c r="F19" s="7" t="n">
        <v>52388</v>
      </c>
      <c r="G19" s="7" t="n">
        <v>21031.07</v>
      </c>
      <c r="H19" s="7" t="n">
        <v>55668.5</v>
      </c>
      <c r="I19" s="7" t="n">
        <v>40411</v>
      </c>
      <c r="J19" s="7" t="n">
        <v>29127000</v>
      </c>
      <c r="K19" s="7" t="n">
        <v>643000000</v>
      </c>
      <c r="L19" s="7" t="n">
        <v>222000000</v>
      </c>
      <c r="M19" s="3" t="e">
        <f aca="false">#REF!</f>
        <v>#VALUE!</v>
      </c>
      <c r="N19" s="3" t="e">
        <f aca="false">#REF!</f>
        <v>#VALUE!</v>
      </c>
      <c r="O19" s="3" t="e">
        <f aca="false">#REF!</f>
        <v>#VALUE!</v>
      </c>
      <c r="P19" s="3" t="e">
        <f aca="false">#REF!</f>
        <v>#VALUE!</v>
      </c>
      <c r="Q19" s="3" t="e">
        <f aca="false">#REF!</f>
        <v>#VALUE!</v>
      </c>
      <c r="R19" s="3" t="e">
        <f aca="false">#REF!</f>
        <v>#VALUE!</v>
      </c>
      <c r="S19" s="3" t="s">
        <v>230</v>
      </c>
      <c r="T19" s="3" t="e">
        <f aca="false">#REF!</f>
        <v>#VALUE!</v>
      </c>
      <c r="U19" s="3" t="s">
        <v>20</v>
      </c>
      <c r="V19" s="3" t="s">
        <v>20</v>
      </c>
      <c r="W19" s="3" t="e">
        <f aca="false">#REF!</f>
        <v>#VALUE!</v>
      </c>
      <c r="X19" s="3" t="s">
        <v>20</v>
      </c>
      <c r="Y19" s="3" t="s">
        <v>230</v>
      </c>
      <c r="Z19" s="3" t="e">
        <f aca="false">#REF!</f>
        <v>#VALUE!</v>
      </c>
      <c r="AA19" s="3" t="s">
        <v>20</v>
      </c>
      <c r="AB19" s="3" t="s">
        <v>20</v>
      </c>
      <c r="AC19" s="3" t="e">
        <f aca="false">#REF!</f>
        <v>#VALUE!</v>
      </c>
      <c r="AD19" s="3" t="s">
        <v>20</v>
      </c>
      <c r="AE19" s="3" t="n">
        <v>540</v>
      </c>
      <c r="AF19" s="3" t="n">
        <f aca="false">+AG19-AE19</f>
        <v>61953</v>
      </c>
      <c r="AG19" s="3" t="n">
        <v>62493</v>
      </c>
      <c r="AH19" s="3" t="n">
        <v>221</v>
      </c>
      <c r="AI19" s="3" t="n">
        <v>93</v>
      </c>
      <c r="AJ19" s="3" t="n">
        <f aca="false">+AK19-AH19-AI19</f>
        <v>9825</v>
      </c>
      <c r="AK19" s="3" t="n">
        <v>10139</v>
      </c>
      <c r="AL19" s="3" t="n">
        <f aca="false">AG19+AK19</f>
        <v>72632</v>
      </c>
      <c r="AM19" s="3" t="n">
        <v>85</v>
      </c>
      <c r="AN19" s="3" t="n">
        <v>136</v>
      </c>
      <c r="AO19" s="3" t="n">
        <v>27</v>
      </c>
      <c r="AP19" s="3" t="n">
        <v>513</v>
      </c>
      <c r="AQ19" s="7" t="n">
        <v>55.1</v>
      </c>
      <c r="AR19" s="7" t="n">
        <v>23.9</v>
      </c>
      <c r="AS19" s="7" t="n">
        <v>21</v>
      </c>
      <c r="AT19" s="7" t="n">
        <v>68</v>
      </c>
      <c r="AU19" s="7" t="n">
        <v>25.4</v>
      </c>
      <c r="AV19" s="7" t="n">
        <v>6.6</v>
      </c>
      <c r="AW19" s="18" t="n">
        <v>0</v>
      </c>
      <c r="AX19" s="18" t="n">
        <v>0</v>
      </c>
      <c r="AY19" s="18" t="n">
        <v>0</v>
      </c>
      <c r="AZ19" s="18" t="n">
        <v>1</v>
      </c>
      <c r="BA19" s="18" t="n">
        <v>0</v>
      </c>
      <c r="BB19" s="18" t="n">
        <v>0</v>
      </c>
      <c r="BC19" s="3" t="n">
        <v>4737</v>
      </c>
      <c r="BD19" s="3" t="n">
        <v>16656</v>
      </c>
      <c r="BE19" s="3" t="n">
        <v>21393</v>
      </c>
      <c r="BF19" s="3" t="n">
        <v>4384</v>
      </c>
      <c r="BG19" s="3" t="n">
        <v>559</v>
      </c>
      <c r="BH19" s="3" t="n">
        <v>11726</v>
      </c>
      <c r="BI19" s="3" t="n">
        <v>16669</v>
      </c>
      <c r="BJ19" s="11" t="n">
        <v>683377</v>
      </c>
      <c r="BK19" s="11" t="n">
        <v>157425</v>
      </c>
      <c r="BL19" s="11" t="n">
        <v>2502</v>
      </c>
      <c r="BM19" s="11" t="n">
        <v>843304</v>
      </c>
      <c r="BN19" s="10" t="n">
        <v>152045</v>
      </c>
      <c r="BO19" s="11" t="n">
        <v>111117</v>
      </c>
      <c r="BP19" s="11" t="n">
        <v>41</v>
      </c>
      <c r="BQ19" s="11" t="n">
        <v>263203</v>
      </c>
      <c r="BR19" s="10" t="n">
        <v>88047</v>
      </c>
      <c r="BS19" s="11" t="n">
        <v>109820</v>
      </c>
      <c r="BT19" s="11" t="n">
        <v>103564</v>
      </c>
      <c r="BU19" s="11" t="n">
        <v>143452</v>
      </c>
      <c r="BV19" s="11" t="n">
        <v>1551390</v>
      </c>
      <c r="BW19" s="2" t="n">
        <v>23908</v>
      </c>
      <c r="BX19" s="2" t="n">
        <v>24444</v>
      </c>
      <c r="BY19" s="2" t="n">
        <v>28.41</v>
      </c>
      <c r="BZ19" s="2" t="n">
        <v>7.43</v>
      </c>
      <c r="CA19" s="2" t="n">
        <v>0.513</v>
      </c>
      <c r="CB19" s="2" t="n">
        <v>0.792</v>
      </c>
      <c r="CC19" s="2" t="n">
        <v>307.8</v>
      </c>
      <c r="CD19" s="2" t="n">
        <v>3713</v>
      </c>
      <c r="CE19" s="2" t="n">
        <v>40411</v>
      </c>
      <c r="CF19" s="2" t="n">
        <v>91.8809235109252</v>
      </c>
      <c r="CG19" s="3" t="s">
        <v>91</v>
      </c>
    </row>
    <row r="20" customFormat="false" ht="14.65" hidden="false" customHeight="false" outlineLevel="0" collapsed="false">
      <c r="A20" s="7" t="s">
        <v>118</v>
      </c>
      <c r="B20" s="7" t="s">
        <v>137</v>
      </c>
      <c r="C20" s="7" t="s">
        <v>118</v>
      </c>
      <c r="D20" s="7" t="n">
        <v>1988</v>
      </c>
      <c r="E20" s="7" t="n">
        <v>13572.38</v>
      </c>
      <c r="F20" s="7" t="n">
        <v>72105</v>
      </c>
      <c r="G20" s="7" t="n">
        <v>27147.89</v>
      </c>
      <c r="H20" s="7" t="n">
        <v>129066.9</v>
      </c>
      <c r="I20" s="7" t="n">
        <v>51843</v>
      </c>
      <c r="J20" s="7" t="n">
        <v>64882000</v>
      </c>
      <c r="K20" s="7" t="n">
        <v>591000000</v>
      </c>
      <c r="L20" s="7" t="n">
        <v>188000000</v>
      </c>
      <c r="M20" s="3" t="n">
        <v>94588</v>
      </c>
      <c r="N20" s="3" t="n">
        <v>238373</v>
      </c>
      <c r="O20" s="3" t="n">
        <v>332961</v>
      </c>
      <c r="P20" s="3" t="n">
        <v>2688</v>
      </c>
      <c r="Q20" s="3" t="n">
        <v>7909</v>
      </c>
      <c r="R20" s="3" t="n">
        <v>10597</v>
      </c>
      <c r="S20" s="3" t="n">
        <v>56281</v>
      </c>
      <c r="T20" s="3" t="n">
        <v>209593</v>
      </c>
      <c r="U20" s="3" t="n">
        <v>265874</v>
      </c>
      <c r="V20" s="3" t="n">
        <v>1136</v>
      </c>
      <c r="W20" s="3" t="n">
        <v>59761</v>
      </c>
      <c r="X20" s="3" t="n">
        <v>60897</v>
      </c>
      <c r="Y20" s="3" t="n">
        <v>150869</v>
      </c>
      <c r="Z20" s="3" t="n">
        <v>447966</v>
      </c>
      <c r="AA20" s="3" t="n">
        <v>598835</v>
      </c>
      <c r="AB20" s="3" t="n">
        <v>3824</v>
      </c>
      <c r="AC20" s="3" t="n">
        <v>67670</v>
      </c>
      <c r="AD20" s="3" t="n">
        <v>71494</v>
      </c>
      <c r="AE20" s="3" t="n">
        <v>608</v>
      </c>
      <c r="AF20" s="3" t="n">
        <f aca="false">+AG20-AE20</f>
        <v>45225</v>
      </c>
      <c r="AG20" s="3" t="n">
        <v>45833</v>
      </c>
      <c r="AH20" s="3" t="n">
        <v>263</v>
      </c>
      <c r="AI20" s="3" t="n">
        <v>45</v>
      </c>
      <c r="AJ20" s="3" t="n">
        <f aca="false">+AK20-AH20-AI20</f>
        <v>13458</v>
      </c>
      <c r="AK20" s="3" t="n">
        <v>13766</v>
      </c>
      <c r="AL20" s="3" t="n">
        <f aca="false">AG20+AK20</f>
        <v>59599</v>
      </c>
      <c r="AM20" s="3" t="n">
        <v>87</v>
      </c>
      <c r="AN20" s="3" t="n">
        <v>176</v>
      </c>
      <c r="AO20" s="3" t="n">
        <v>7</v>
      </c>
      <c r="AP20" s="3" t="n">
        <v>601</v>
      </c>
      <c r="AQ20" s="7" t="n">
        <v>57</v>
      </c>
      <c r="AR20" s="7" t="n">
        <v>27.1</v>
      </c>
      <c r="AS20" s="7" t="n">
        <v>15.9</v>
      </c>
      <c r="AT20" s="7" t="n">
        <v>63.8</v>
      </c>
      <c r="AU20" s="7" t="n">
        <v>25</v>
      </c>
      <c r="AV20" s="7" t="n">
        <v>11.2</v>
      </c>
      <c r="AW20" s="18" t="n">
        <v>0</v>
      </c>
      <c r="AX20" s="18" t="n">
        <v>0</v>
      </c>
      <c r="AY20" s="18" t="n">
        <v>0</v>
      </c>
      <c r="AZ20" s="18" t="n">
        <v>1</v>
      </c>
      <c r="BA20" s="18" t="n">
        <v>0</v>
      </c>
      <c r="BB20" s="18" t="n">
        <v>0</v>
      </c>
      <c r="BC20" s="3" t="n">
        <v>4197</v>
      </c>
      <c r="BD20" s="3" t="n">
        <v>12860</v>
      </c>
      <c r="BE20" s="3" t="n">
        <v>17057</v>
      </c>
      <c r="BF20" s="3" t="n">
        <v>3847</v>
      </c>
      <c r="BG20" s="3" t="n">
        <v>488</v>
      </c>
      <c r="BH20" s="3" t="n">
        <v>12463</v>
      </c>
      <c r="BI20" s="3" t="n">
        <v>16798</v>
      </c>
      <c r="BJ20" s="11" t="n">
        <v>650766</v>
      </c>
      <c r="BK20" s="11" t="n">
        <v>154691</v>
      </c>
      <c r="BL20" s="11" t="n">
        <v>104</v>
      </c>
      <c r="BM20" s="11" t="n">
        <v>805561</v>
      </c>
      <c r="BN20" s="10" t="n">
        <v>59191</v>
      </c>
      <c r="BO20" s="11" t="n">
        <v>194618</v>
      </c>
      <c r="BP20" s="11" t="n">
        <v>210</v>
      </c>
      <c r="BQ20" s="11" t="n">
        <v>254019</v>
      </c>
      <c r="BR20" s="10" t="n">
        <v>85661</v>
      </c>
      <c r="BS20" s="11" t="n">
        <v>116970</v>
      </c>
      <c r="BT20" s="11" t="n">
        <v>107470</v>
      </c>
      <c r="BU20" s="11" t="n">
        <v>107504</v>
      </c>
      <c r="BV20" s="11" t="n">
        <v>1477185</v>
      </c>
      <c r="BW20" s="2" t="n">
        <v>22383</v>
      </c>
      <c r="BX20" s="2" t="n">
        <v>22775</v>
      </c>
      <c r="BY20" s="2" t="n">
        <v>28.62</v>
      </c>
      <c r="BZ20" s="2" t="n">
        <v>5.79</v>
      </c>
      <c r="CA20" s="2" t="n">
        <v>0.325</v>
      </c>
      <c r="CB20" s="2" t="n">
        <v>0.685</v>
      </c>
      <c r="CC20" s="2" t="n">
        <v>215.76</v>
      </c>
      <c r="CD20" s="2" t="n">
        <v>4252</v>
      </c>
      <c r="CE20" s="2" t="n">
        <v>51843</v>
      </c>
      <c r="CF20" s="2" t="n">
        <v>82.0168585922883</v>
      </c>
      <c r="CG20" s="3" t="s">
        <v>99</v>
      </c>
    </row>
    <row r="21" customFormat="false" ht="14.65" hidden="false" customHeight="false" outlineLevel="0" collapsed="false">
      <c r="A21" s="7" t="s">
        <v>118</v>
      </c>
      <c r="B21" s="7" t="s">
        <v>138</v>
      </c>
      <c r="C21" s="7" t="s">
        <v>118</v>
      </c>
      <c r="D21" s="7" t="n">
        <v>1988</v>
      </c>
      <c r="E21" s="7" t="n">
        <v>2547.35</v>
      </c>
      <c r="F21" s="7" t="n">
        <v>17896</v>
      </c>
      <c r="G21" s="7" t="n">
        <v>5147.52</v>
      </c>
      <c r="H21" s="7" t="n">
        <v>15292.81</v>
      </c>
      <c r="I21" s="7" t="n">
        <v>35387</v>
      </c>
      <c r="J21" s="7" t="n">
        <v>2722000</v>
      </c>
      <c r="K21" s="7" t="n">
        <v>117000000</v>
      </c>
      <c r="L21" s="7" t="n">
        <v>176000000</v>
      </c>
      <c r="M21" s="3" t="n">
        <v>4420</v>
      </c>
      <c r="N21" s="3" t="n">
        <v>50380</v>
      </c>
      <c r="O21" s="3" t="n">
        <v>54800</v>
      </c>
      <c r="P21" s="3" t="n">
        <v>363</v>
      </c>
      <c r="Q21" s="3" t="n">
        <v>7371</v>
      </c>
      <c r="R21" s="3" t="n">
        <v>7734</v>
      </c>
      <c r="S21" s="3" t="n">
        <v>22864</v>
      </c>
      <c r="T21" s="3" t="n">
        <v>60801</v>
      </c>
      <c r="U21" s="3" t="n">
        <v>83665</v>
      </c>
      <c r="V21" s="3" t="n">
        <v>18472</v>
      </c>
      <c r="W21" s="3" t="n">
        <v>50372</v>
      </c>
      <c r="X21" s="3" t="n">
        <v>68844</v>
      </c>
      <c r="Y21" s="3" t="n">
        <v>27284</v>
      </c>
      <c r="Z21" s="3" t="n">
        <v>111181</v>
      </c>
      <c r="AA21" s="3" t="n">
        <v>138465</v>
      </c>
      <c r="AB21" s="3" t="n">
        <v>18835</v>
      </c>
      <c r="AC21" s="3" t="n">
        <v>57743</v>
      </c>
      <c r="AD21" s="3" t="n">
        <v>76578</v>
      </c>
      <c r="AE21" s="3" t="n">
        <v>312</v>
      </c>
      <c r="AF21" s="3" t="n">
        <f aca="false">+AG21-AE21</f>
        <v>19615</v>
      </c>
      <c r="AG21" s="3" t="n">
        <v>19927</v>
      </c>
      <c r="AH21" s="3" t="n">
        <v>54</v>
      </c>
      <c r="AI21" s="3" t="n">
        <v>17</v>
      </c>
      <c r="AJ21" s="3" t="n">
        <f aca="false">+AK21-AH21-AI21</f>
        <v>2512</v>
      </c>
      <c r="AK21" s="3" t="n">
        <v>2583</v>
      </c>
      <c r="AL21" s="3" t="n">
        <f aca="false">AG21+AK21</f>
        <v>22510</v>
      </c>
      <c r="AM21" s="3" t="n">
        <v>1</v>
      </c>
      <c r="AN21" s="3" t="n">
        <v>53</v>
      </c>
      <c r="AO21" s="3" t="n">
        <v>13</v>
      </c>
      <c r="AP21" s="3" t="n">
        <v>299</v>
      </c>
      <c r="AQ21" s="7" t="n">
        <v>62.5</v>
      </c>
      <c r="AR21" s="7" t="n">
        <v>26.1</v>
      </c>
      <c r="AS21" s="7" t="n">
        <v>11.4</v>
      </c>
      <c r="AT21" s="7" t="n">
        <v>74.7</v>
      </c>
      <c r="AU21" s="7" t="n">
        <v>22</v>
      </c>
      <c r="AV21" s="7" t="n">
        <v>3.3</v>
      </c>
      <c r="AW21" s="18" t="n">
        <v>0</v>
      </c>
      <c r="AX21" s="18" t="n">
        <v>0</v>
      </c>
      <c r="AY21" s="18" t="n">
        <v>0</v>
      </c>
      <c r="AZ21" s="18" t="n">
        <v>0</v>
      </c>
      <c r="BA21" s="18" t="n">
        <v>0</v>
      </c>
      <c r="BB21" s="18" t="n">
        <v>1</v>
      </c>
      <c r="BC21" s="3" t="n">
        <v>1725</v>
      </c>
      <c r="BD21" s="3" t="n">
        <v>7239</v>
      </c>
      <c r="BE21" s="3" t="n">
        <v>8964</v>
      </c>
      <c r="BF21" s="3" t="n">
        <v>480</v>
      </c>
      <c r="BG21" s="3" t="n">
        <v>95</v>
      </c>
      <c r="BH21" s="3" t="n">
        <v>2612</v>
      </c>
      <c r="BI21" s="3" t="n">
        <v>3187</v>
      </c>
      <c r="BJ21" s="11" t="n">
        <v>143850</v>
      </c>
      <c r="BK21" s="11" t="n">
        <v>15420</v>
      </c>
      <c r="BL21" s="11" t="n">
        <v>446</v>
      </c>
      <c r="BM21" s="11" t="n">
        <v>159716</v>
      </c>
      <c r="BN21" s="10" t="n">
        <v>114900</v>
      </c>
      <c r="BO21" s="11" t="n">
        <v>98260</v>
      </c>
      <c r="BP21" s="11" t="n">
        <v>153</v>
      </c>
      <c r="BQ21" s="11" t="n">
        <v>213313</v>
      </c>
      <c r="BR21" s="10" t="n">
        <v>17086</v>
      </c>
      <c r="BS21" s="11" t="n">
        <v>42300</v>
      </c>
      <c r="BT21" s="11" t="n">
        <v>12015</v>
      </c>
      <c r="BU21" s="11" t="n">
        <v>15933</v>
      </c>
      <c r="BV21" s="11" t="n">
        <v>460363</v>
      </c>
      <c r="BW21" s="2" t="n">
        <v>24466</v>
      </c>
      <c r="BX21" s="2" t="n">
        <v>25076</v>
      </c>
      <c r="BY21" s="2" t="n">
        <v>24.53</v>
      </c>
      <c r="BZ21" s="2" t="n">
        <v>4.24</v>
      </c>
      <c r="CA21" s="2" t="n">
        <v>0.811</v>
      </c>
      <c r="CB21" s="2" t="n">
        <v>0.806</v>
      </c>
      <c r="CC21" s="2" t="n">
        <v>300.09</v>
      </c>
      <c r="CD21" s="2" t="n">
        <v>1235</v>
      </c>
      <c r="CE21" s="2" t="n">
        <v>35387</v>
      </c>
      <c r="CF21" s="2" t="n">
        <v>34.8998219685195</v>
      </c>
      <c r="CG21" s="3" t="s">
        <v>91</v>
      </c>
    </row>
    <row r="22" customFormat="false" ht="14.65" hidden="false" customHeight="false" outlineLevel="0" collapsed="false">
      <c r="A22" s="7" t="s">
        <v>118</v>
      </c>
      <c r="B22" s="7" t="s">
        <v>139</v>
      </c>
      <c r="C22" s="7" t="s">
        <v>118</v>
      </c>
      <c r="D22" s="7" t="n">
        <v>1988</v>
      </c>
      <c r="E22" s="7" t="n">
        <v>11768.02</v>
      </c>
      <c r="F22" s="7" t="n">
        <v>73671</v>
      </c>
      <c r="G22" s="7" t="n">
        <v>31062.85</v>
      </c>
      <c r="H22" s="7" t="n">
        <v>56167.54</v>
      </c>
      <c r="I22" s="7" t="n">
        <v>12407</v>
      </c>
      <c r="J22" s="7" t="n">
        <v>105000000</v>
      </c>
      <c r="K22" s="7" t="n">
        <v>1020000000</v>
      </c>
      <c r="L22" s="7" t="n">
        <v>296000000</v>
      </c>
      <c r="M22" s="3" t="n">
        <v>79085</v>
      </c>
      <c r="N22" s="3" t="n">
        <v>154176</v>
      </c>
      <c r="O22" s="3" t="n">
        <v>233261</v>
      </c>
      <c r="P22" s="3" t="n">
        <v>6980</v>
      </c>
      <c r="Q22" s="3" t="n">
        <v>84597</v>
      </c>
      <c r="R22" s="3" t="n">
        <v>91577</v>
      </c>
      <c r="S22" s="3" t="n">
        <v>113671</v>
      </c>
      <c r="T22" s="3" t="n">
        <v>124701</v>
      </c>
      <c r="U22" s="3" t="n">
        <v>238372</v>
      </c>
      <c r="V22" s="3" t="n">
        <v>6588</v>
      </c>
      <c r="W22" s="3" t="n">
        <v>2582</v>
      </c>
      <c r="X22" s="3" t="n">
        <v>9170</v>
      </c>
      <c r="Y22" s="3" t="n">
        <v>192756</v>
      </c>
      <c r="Z22" s="3" t="n">
        <v>278877</v>
      </c>
      <c r="AA22" s="3" t="n">
        <v>471633</v>
      </c>
      <c r="AB22" s="3" t="n">
        <v>13568</v>
      </c>
      <c r="AC22" s="3" t="n">
        <v>87179</v>
      </c>
      <c r="AD22" s="3" t="n">
        <v>100747</v>
      </c>
      <c r="AE22" s="3" t="n">
        <v>227</v>
      </c>
      <c r="AF22" s="3" t="n">
        <f aca="false">+AG22-AE22</f>
        <v>15415</v>
      </c>
      <c r="AG22" s="3" t="n">
        <v>15642</v>
      </c>
      <c r="AH22" s="3" t="n">
        <v>255</v>
      </c>
      <c r="AI22" s="3" t="n">
        <v>224</v>
      </c>
      <c r="AJ22" s="3" t="n">
        <f aca="false">+AK22-AH22-AI22</f>
        <v>13192</v>
      </c>
      <c r="AK22" s="3" t="n">
        <v>13671</v>
      </c>
      <c r="AL22" s="3" t="n">
        <f aca="false">AG22+AK22</f>
        <v>29313</v>
      </c>
      <c r="AM22" s="3" t="n">
        <v>187</v>
      </c>
      <c r="AN22" s="3" t="n">
        <v>68</v>
      </c>
      <c r="AO22" s="3" t="n">
        <v>123</v>
      </c>
      <c r="AP22" s="3" t="n">
        <v>104</v>
      </c>
      <c r="AQ22" s="7" t="n">
        <v>63.7</v>
      </c>
      <c r="AR22" s="7" t="n">
        <v>17.2</v>
      </c>
      <c r="AS22" s="7" t="n">
        <v>19.1</v>
      </c>
      <c r="AT22" s="7" t="n">
        <v>65.3</v>
      </c>
      <c r="AU22" s="7" t="n">
        <v>33.5</v>
      </c>
      <c r="AV22" s="7" t="n">
        <v>1.2</v>
      </c>
      <c r="AW22" s="18" t="n">
        <v>0</v>
      </c>
      <c r="AX22" s="18" t="n">
        <v>0</v>
      </c>
      <c r="AY22" s="18" t="n">
        <v>0</v>
      </c>
      <c r="AZ22" s="18" t="n">
        <v>1</v>
      </c>
      <c r="BA22" s="18" t="n">
        <v>0</v>
      </c>
      <c r="BB22" s="18" t="n">
        <v>0</v>
      </c>
      <c r="BC22" s="3" t="n">
        <v>2913</v>
      </c>
      <c r="BD22" s="3" t="n">
        <v>9889</v>
      </c>
      <c r="BE22" s="3" t="n">
        <v>12802</v>
      </c>
      <c r="BF22" s="3" t="n">
        <v>9086</v>
      </c>
      <c r="BG22" s="3" t="n">
        <v>3406</v>
      </c>
      <c r="BH22" s="3" t="n">
        <v>16602</v>
      </c>
      <c r="BI22" s="3" t="n">
        <v>29094</v>
      </c>
      <c r="BJ22" s="13" t="n">
        <v>511583</v>
      </c>
      <c r="BK22" s="13" t="n">
        <v>232055</v>
      </c>
      <c r="BL22" s="13" t="n">
        <v>14907</v>
      </c>
      <c r="BM22" s="13" t="n">
        <v>758545</v>
      </c>
      <c r="BN22" s="12" t="n">
        <v>149131</v>
      </c>
      <c r="BO22" s="13" t="n">
        <v>200106</v>
      </c>
      <c r="BP22" s="13" t="n">
        <v>0</v>
      </c>
      <c r="BQ22" s="13" t="n">
        <v>349237</v>
      </c>
      <c r="BR22" s="12" t="n">
        <v>108364</v>
      </c>
      <c r="BS22" s="13" t="n">
        <v>161614</v>
      </c>
      <c r="BT22" s="13" t="n">
        <v>81688</v>
      </c>
      <c r="BU22" s="13" t="n">
        <v>330508</v>
      </c>
      <c r="BV22" s="13" t="n">
        <v>1789956</v>
      </c>
      <c r="BW22" s="2" t="n">
        <v>32930</v>
      </c>
      <c r="BX22" s="2" t="n">
        <v>34052</v>
      </c>
      <c r="BY22" s="2" t="n">
        <v>26.2</v>
      </c>
      <c r="BZ22" s="2" t="n">
        <v>2.48</v>
      </c>
      <c r="CA22" s="2" t="n">
        <v>0.505</v>
      </c>
      <c r="CB22" s="2" t="n">
        <v>0.808</v>
      </c>
      <c r="CC22" s="2" t="n">
        <v>286.69</v>
      </c>
      <c r="CD22" s="2" t="n">
        <v>4860</v>
      </c>
      <c r="CE22" s="2" t="n">
        <v>12407</v>
      </c>
      <c r="CF22" s="2" t="n">
        <v>391.71435479971</v>
      </c>
      <c r="CG22" s="3" t="s">
        <v>96</v>
      </c>
    </row>
    <row r="23" customFormat="false" ht="14.65" hidden="false" customHeight="false" outlineLevel="0" collapsed="false">
      <c r="A23" s="7" t="s">
        <v>118</v>
      </c>
      <c r="B23" s="7" t="s">
        <v>140</v>
      </c>
      <c r="C23" s="7" t="s">
        <v>118</v>
      </c>
      <c r="D23" s="7" t="n">
        <v>1988</v>
      </c>
      <c r="E23" s="7" t="n">
        <v>9194.59</v>
      </c>
      <c r="F23" s="7" t="n">
        <v>116523</v>
      </c>
      <c r="G23" s="7" t="n">
        <v>32265.09</v>
      </c>
      <c r="H23" s="7" t="n">
        <v>80736.98</v>
      </c>
      <c r="I23" s="7" t="n">
        <v>10555</v>
      </c>
      <c r="J23" s="7" t="n">
        <v>48478000</v>
      </c>
      <c r="K23" s="7" t="n">
        <v>857000000</v>
      </c>
      <c r="L23" s="7" t="n">
        <v>400000000</v>
      </c>
      <c r="M23" s="3" t="e">
        <f aca="false">#REF!</f>
        <v>#VALUE!</v>
      </c>
      <c r="N23" s="3" t="e">
        <f aca="false">#REF!</f>
        <v>#VALUE!</v>
      </c>
      <c r="O23" s="3" t="e">
        <f aca="false">#REF!</f>
        <v>#VALUE!</v>
      </c>
      <c r="P23" s="3" t="e">
        <f aca="false">#REF!</f>
        <v>#VALUE!</v>
      </c>
      <c r="Q23" s="3" t="e">
        <f aca="false">#REF!</f>
        <v>#VALUE!</v>
      </c>
      <c r="R23" s="3" t="e">
        <f aca="false">#REF!</f>
        <v>#VALUE!</v>
      </c>
      <c r="S23" s="3" t="s">
        <v>20</v>
      </c>
      <c r="T23" s="3" t="e">
        <f aca="false">#REF!</f>
        <v>#VALUE!</v>
      </c>
      <c r="U23" s="3" t="s">
        <v>20</v>
      </c>
      <c r="V23" s="3" t="s">
        <v>20</v>
      </c>
      <c r="W23" s="3" t="e">
        <f aca="false">#REF!</f>
        <v>#VALUE!</v>
      </c>
      <c r="X23" s="3" t="s">
        <v>20</v>
      </c>
      <c r="Y23" s="3" t="s">
        <v>20</v>
      </c>
      <c r="Z23" s="3" t="e">
        <f aca="false">#REF!</f>
        <v>#VALUE!</v>
      </c>
      <c r="AA23" s="3" t="s">
        <v>20</v>
      </c>
      <c r="AB23" s="3" t="s">
        <v>20</v>
      </c>
      <c r="AC23" s="3" t="e">
        <f aca="false">#REF!</f>
        <v>#VALUE!</v>
      </c>
      <c r="AD23" s="3" t="s">
        <v>20</v>
      </c>
      <c r="AE23" s="3" t="n">
        <v>162</v>
      </c>
      <c r="AF23" s="3" t="n">
        <f aca="false">+AG23-AE23</f>
        <v>10765</v>
      </c>
      <c r="AG23" s="3" t="n">
        <v>10927</v>
      </c>
      <c r="AH23" s="3" t="n">
        <v>403</v>
      </c>
      <c r="AI23" s="3" t="n">
        <v>199</v>
      </c>
      <c r="AJ23" s="3" t="n">
        <f aca="false">+AK23-AH23-AI23</f>
        <v>19034</v>
      </c>
      <c r="AK23" s="3" t="n">
        <v>19636</v>
      </c>
      <c r="AL23" s="3" t="n">
        <f aca="false">AG23+AK23</f>
        <v>30563</v>
      </c>
      <c r="AM23" s="3" t="n">
        <v>323</v>
      </c>
      <c r="AN23" s="3" t="n">
        <v>80</v>
      </c>
      <c r="AO23" s="3" t="n">
        <v>59</v>
      </c>
      <c r="AP23" s="3" t="n">
        <v>103</v>
      </c>
      <c r="AQ23" s="7" t="n">
        <v>74.8</v>
      </c>
      <c r="AR23" s="7" t="n">
        <v>15.5</v>
      </c>
      <c r="AS23" s="7" t="n">
        <v>9.7</v>
      </c>
      <c r="AT23" s="7" t="n">
        <v>85.4</v>
      </c>
      <c r="AU23" s="7" t="n">
        <v>11</v>
      </c>
      <c r="AV23" s="7" t="n">
        <v>3.59999999999999</v>
      </c>
      <c r="AW23" s="18" t="n">
        <v>0</v>
      </c>
      <c r="AX23" s="18" t="n">
        <v>0</v>
      </c>
      <c r="AY23" s="18" t="n">
        <v>0</v>
      </c>
      <c r="AZ23" s="18" t="n">
        <v>0</v>
      </c>
      <c r="BA23" s="18" t="n">
        <v>0</v>
      </c>
      <c r="BB23" s="18" t="n">
        <v>1</v>
      </c>
      <c r="BC23" s="3" t="n">
        <v>2176</v>
      </c>
      <c r="BD23" s="3" t="n">
        <v>6615</v>
      </c>
      <c r="BE23" s="3" t="n">
        <v>8791</v>
      </c>
      <c r="BF23" s="3" t="n">
        <v>10733</v>
      </c>
      <c r="BG23" s="3" t="n">
        <v>4490</v>
      </c>
      <c r="BH23" s="3" t="n">
        <v>23334</v>
      </c>
      <c r="BI23" s="3" t="n">
        <v>38557</v>
      </c>
      <c r="BJ23" s="11" t="n">
        <v>871763</v>
      </c>
      <c r="BK23" s="11" t="n">
        <v>141997</v>
      </c>
      <c r="BL23" s="11" t="n">
        <v>40</v>
      </c>
      <c r="BM23" s="11" t="n">
        <v>1013800</v>
      </c>
      <c r="BN23" s="10" t="n">
        <v>146150</v>
      </c>
      <c r="BO23" s="11" t="n">
        <v>244043</v>
      </c>
      <c r="BP23" s="11" t="n">
        <v>0</v>
      </c>
      <c r="BQ23" s="11" t="n">
        <v>390193</v>
      </c>
      <c r="BR23" s="10" t="n">
        <v>214814</v>
      </c>
      <c r="BS23" s="11" t="n">
        <v>177051</v>
      </c>
      <c r="BT23" s="11" t="n">
        <v>174108</v>
      </c>
      <c r="BU23" s="11" t="n">
        <v>245634</v>
      </c>
      <c r="BV23" s="11" t="n">
        <v>2215600</v>
      </c>
      <c r="BW23" s="2" t="n">
        <v>31609</v>
      </c>
      <c r="BX23" s="2" t="n">
        <v>33039</v>
      </c>
      <c r="BY23" s="2" t="n">
        <v>28.96</v>
      </c>
      <c r="BZ23" s="2" t="n">
        <v>3.17</v>
      </c>
      <c r="CA23" s="2" t="n">
        <v>0.719</v>
      </c>
      <c r="CB23" s="2" t="n">
        <v>0.683</v>
      </c>
      <c r="CC23" s="2" t="n">
        <v>93.8</v>
      </c>
      <c r="CD23" s="2" t="n">
        <v>5996</v>
      </c>
      <c r="CE23" s="2" t="n">
        <v>10555</v>
      </c>
      <c r="CF23" s="2" t="n">
        <v>568.072003789673</v>
      </c>
      <c r="CG23" s="3" t="s">
        <v>94</v>
      </c>
    </row>
    <row r="24" customFormat="false" ht="14.65" hidden="false" customHeight="false" outlineLevel="0" collapsed="false">
      <c r="A24" s="7" t="s">
        <v>118</v>
      </c>
      <c r="B24" s="7" t="s">
        <v>141</v>
      </c>
      <c r="C24" s="7" t="s">
        <v>118</v>
      </c>
      <c r="D24" s="7" t="n">
        <v>1988</v>
      </c>
      <c r="E24" s="7" t="n">
        <v>18795.61</v>
      </c>
      <c r="F24" s="7" t="n">
        <v>145444</v>
      </c>
      <c r="G24" s="7" t="n">
        <v>49760.76</v>
      </c>
      <c r="H24" s="7" t="n">
        <v>137614.7</v>
      </c>
      <c r="I24" s="7" t="n">
        <v>96810</v>
      </c>
      <c r="J24" s="7" t="n">
        <v>27093000</v>
      </c>
      <c r="K24" s="7" t="n">
        <v>670000000</v>
      </c>
      <c r="L24" s="7" t="n">
        <v>741000000</v>
      </c>
      <c r="M24" s="3" t="n">
        <v>261891</v>
      </c>
      <c r="N24" s="3" t="n">
        <v>64799</v>
      </c>
      <c r="O24" s="3" t="n">
        <v>326690</v>
      </c>
      <c r="P24" s="3" t="n">
        <v>44295</v>
      </c>
      <c r="Q24" s="3" t="n">
        <v>9639</v>
      </c>
      <c r="R24" s="3" t="n">
        <v>53934</v>
      </c>
      <c r="S24" s="3" t="n">
        <v>71861</v>
      </c>
      <c r="T24" s="3" t="n">
        <v>162943</v>
      </c>
      <c r="U24" s="3" t="n">
        <v>234804</v>
      </c>
      <c r="V24" s="3" t="n">
        <v>13758</v>
      </c>
      <c r="W24" s="3" t="n">
        <v>26571</v>
      </c>
      <c r="X24" s="3" t="n">
        <v>40329</v>
      </c>
      <c r="Y24" s="3" t="n">
        <v>333752</v>
      </c>
      <c r="Z24" s="3" t="n">
        <v>227742</v>
      </c>
      <c r="AA24" s="3" t="n">
        <v>561494</v>
      </c>
      <c r="AB24" s="3" t="n">
        <v>58053</v>
      </c>
      <c r="AC24" s="3" t="n">
        <v>36210</v>
      </c>
      <c r="AD24" s="3" t="n">
        <v>94263</v>
      </c>
      <c r="AE24" s="3" t="n">
        <v>741</v>
      </c>
      <c r="AF24" s="3" t="n">
        <f aca="false">+AG24-AE24</f>
        <v>88744</v>
      </c>
      <c r="AG24" s="3" t="n">
        <v>89485</v>
      </c>
      <c r="AH24" s="3" t="n">
        <v>499</v>
      </c>
      <c r="AI24" s="3" t="n">
        <v>221</v>
      </c>
      <c r="AJ24" s="3" t="n">
        <f aca="false">+AK24-AH24-AI24</f>
        <v>27454</v>
      </c>
      <c r="AK24" s="3" t="n">
        <v>28174</v>
      </c>
      <c r="AL24" s="3" t="n">
        <f aca="false">AG24+AK24</f>
        <v>117659</v>
      </c>
      <c r="AM24" s="3" t="n">
        <v>301</v>
      </c>
      <c r="AN24" s="3" t="n">
        <v>198</v>
      </c>
      <c r="AO24" s="3" t="n">
        <v>92</v>
      </c>
      <c r="AP24" s="3" t="n">
        <v>649</v>
      </c>
      <c r="AQ24" s="7" t="n">
        <v>72.2</v>
      </c>
      <c r="AR24" s="7" t="n">
        <v>18.6</v>
      </c>
      <c r="AS24" s="7" t="n">
        <v>9.2</v>
      </c>
      <c r="AT24" s="7" t="n">
        <v>72.7</v>
      </c>
      <c r="AU24" s="7" t="n">
        <v>19.5</v>
      </c>
      <c r="AV24" s="7" t="n">
        <v>7.8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1</v>
      </c>
      <c r="BB24" s="18" t="n">
        <v>0</v>
      </c>
      <c r="BC24" s="3" t="n">
        <v>5614</v>
      </c>
      <c r="BD24" s="3" t="n">
        <v>25620</v>
      </c>
      <c r="BE24" s="3" t="n">
        <v>31234</v>
      </c>
      <c r="BF24" s="3" t="n">
        <v>12601</v>
      </c>
      <c r="BG24" s="3" t="n">
        <v>3965</v>
      </c>
      <c r="BH24" s="3" t="n">
        <v>36419</v>
      </c>
      <c r="BI24" s="3" t="n">
        <v>52985</v>
      </c>
      <c r="BJ24" s="11" t="n">
        <v>546839</v>
      </c>
      <c r="BK24" s="11" t="n">
        <v>276700</v>
      </c>
      <c r="BL24" s="11" t="n">
        <v>31</v>
      </c>
      <c r="BM24" s="11" t="n">
        <v>823570</v>
      </c>
      <c r="BN24" s="10" t="n">
        <v>138763</v>
      </c>
      <c r="BO24" s="11" t="n">
        <v>642977</v>
      </c>
      <c r="BP24" s="11" t="n">
        <v>300</v>
      </c>
      <c r="BQ24" s="11" t="n">
        <v>782040</v>
      </c>
      <c r="BR24" s="10" t="n">
        <v>205891</v>
      </c>
      <c r="BS24" s="11" t="n">
        <v>201637</v>
      </c>
      <c r="BT24" s="11" t="n">
        <v>35674</v>
      </c>
      <c r="BU24" s="11" t="n">
        <v>44873</v>
      </c>
      <c r="BV24" s="11" t="n">
        <v>2093685</v>
      </c>
      <c r="BW24" s="2" t="n">
        <v>30074</v>
      </c>
      <c r="BX24" s="2" t="n">
        <v>30740</v>
      </c>
      <c r="BY24" s="2" t="n">
        <v>26.64</v>
      </c>
      <c r="BZ24" s="2" t="n">
        <v>3.23</v>
      </c>
      <c r="CA24" s="2" t="n">
        <v>0.557</v>
      </c>
      <c r="CB24" s="2" t="n">
        <v>1.1</v>
      </c>
      <c r="CC24" s="2" t="n">
        <v>268.24</v>
      </c>
      <c r="CD24" s="2" t="n">
        <v>9368</v>
      </c>
      <c r="CE24" s="2" t="n">
        <v>96810</v>
      </c>
      <c r="CF24" s="2" t="n">
        <v>96.7668629273835</v>
      </c>
      <c r="CG24" s="3" t="s">
        <v>94</v>
      </c>
    </row>
    <row r="25" customFormat="false" ht="14.65" hidden="false" customHeight="false" outlineLevel="0" collapsed="false">
      <c r="A25" s="7" t="s">
        <v>118</v>
      </c>
      <c r="B25" s="7" t="s">
        <v>142</v>
      </c>
      <c r="C25" s="7" t="s">
        <v>118</v>
      </c>
      <c r="D25" s="7" t="n">
        <v>1988</v>
      </c>
      <c r="E25" s="7" t="n">
        <v>13417.77</v>
      </c>
      <c r="F25" s="7" t="n">
        <v>73407</v>
      </c>
      <c r="G25" s="7" t="n">
        <v>30670.27</v>
      </c>
      <c r="H25" s="7" t="n">
        <v>66077.3</v>
      </c>
      <c r="I25" s="7" t="n">
        <v>86943</v>
      </c>
      <c r="J25" s="7" t="n">
        <v>50735000</v>
      </c>
      <c r="K25" s="7" t="n">
        <v>982000000</v>
      </c>
      <c r="L25" s="7" t="n">
        <v>493000000</v>
      </c>
      <c r="M25" s="3" t="n">
        <v>75321</v>
      </c>
      <c r="N25" s="3" t="n">
        <v>372047</v>
      </c>
      <c r="O25" s="3" t="n">
        <v>447368</v>
      </c>
      <c r="P25" s="3" t="n">
        <v>6115</v>
      </c>
      <c r="Q25" s="3" t="n">
        <v>34480</v>
      </c>
      <c r="R25" s="3" t="n">
        <v>40595</v>
      </c>
      <c r="S25" s="3" t="n">
        <v>14920</v>
      </c>
      <c r="T25" s="3" t="n">
        <v>145839</v>
      </c>
      <c r="U25" s="3" t="n">
        <v>160759</v>
      </c>
      <c r="V25" s="3" t="n">
        <v>5342</v>
      </c>
      <c r="W25" s="3" t="n">
        <v>51908</v>
      </c>
      <c r="X25" s="3" t="n">
        <v>57250</v>
      </c>
      <c r="Y25" s="3" t="n">
        <v>90241</v>
      </c>
      <c r="Z25" s="3" t="n">
        <v>517886</v>
      </c>
      <c r="AA25" s="3" t="n">
        <v>608127</v>
      </c>
      <c r="AB25" s="3" t="n">
        <v>11457</v>
      </c>
      <c r="AC25" s="3" t="n">
        <v>86388</v>
      </c>
      <c r="AD25" s="3" t="n">
        <v>97845</v>
      </c>
      <c r="AE25" s="3" t="n">
        <v>681</v>
      </c>
      <c r="AF25" s="3" t="n">
        <f aca="false">+AG25-AE25</f>
        <v>114392</v>
      </c>
      <c r="AG25" s="3" t="n">
        <v>115073</v>
      </c>
      <c r="AH25" s="3" t="n">
        <v>233</v>
      </c>
      <c r="AI25" s="3" t="n">
        <v>130</v>
      </c>
      <c r="AJ25" s="3" t="n">
        <f aca="false">+AK25-AH25-AI25</f>
        <v>14523</v>
      </c>
      <c r="AK25" s="3" t="n">
        <v>14886</v>
      </c>
      <c r="AL25" s="3" t="n">
        <f aca="false">AG25+AK25</f>
        <v>129959</v>
      </c>
      <c r="AM25" s="3" t="n">
        <v>106</v>
      </c>
      <c r="AN25" s="3" t="n">
        <v>127</v>
      </c>
      <c r="AO25" s="3" t="n">
        <v>20</v>
      </c>
      <c r="AP25" s="3" t="n">
        <v>661</v>
      </c>
      <c r="AQ25" s="7" t="n">
        <v>76.4</v>
      </c>
      <c r="AR25" s="7" t="n">
        <v>12.7</v>
      </c>
      <c r="AS25" s="7" t="n">
        <v>10.9</v>
      </c>
      <c r="AT25" s="7" t="n">
        <v>83.1</v>
      </c>
      <c r="AU25" s="7" t="n">
        <v>12.5</v>
      </c>
      <c r="AV25" s="7" t="n">
        <v>4.40000000000001</v>
      </c>
      <c r="AW25" s="18" t="n">
        <v>0</v>
      </c>
      <c r="AX25" s="18" t="n">
        <v>0</v>
      </c>
      <c r="AY25" s="18" t="n">
        <v>0</v>
      </c>
      <c r="AZ25" s="18" t="n">
        <v>0</v>
      </c>
      <c r="BA25" s="18" t="n">
        <v>1</v>
      </c>
      <c r="BB25" s="18" t="n">
        <v>0</v>
      </c>
      <c r="BC25" s="3" t="n">
        <v>3201</v>
      </c>
      <c r="BD25" s="3" t="n">
        <v>16769</v>
      </c>
      <c r="BE25" s="3" t="n">
        <v>19970</v>
      </c>
      <c r="BF25" s="3" t="n">
        <v>5320</v>
      </c>
      <c r="BG25" s="3" t="n">
        <v>2216</v>
      </c>
      <c r="BH25" s="3" t="n">
        <v>13656</v>
      </c>
      <c r="BI25" s="3" t="n">
        <v>21192</v>
      </c>
      <c r="BJ25" s="11" t="n">
        <v>587390</v>
      </c>
      <c r="BK25" s="11" t="n">
        <v>689936</v>
      </c>
      <c r="BL25" s="11" t="n">
        <v>163</v>
      </c>
      <c r="BM25" s="11" t="n">
        <v>1277489</v>
      </c>
      <c r="BN25" s="10" t="n">
        <v>144894</v>
      </c>
      <c r="BO25" s="11" t="n">
        <v>395181</v>
      </c>
      <c r="BP25" s="11" t="n">
        <v>1508</v>
      </c>
      <c r="BQ25" s="11" t="n">
        <v>541583</v>
      </c>
      <c r="BR25" s="10" t="n">
        <v>146484</v>
      </c>
      <c r="BS25" s="11" t="n">
        <v>180927</v>
      </c>
      <c r="BT25" s="11" t="n">
        <v>56605</v>
      </c>
      <c r="BU25" s="11" t="n">
        <v>127591</v>
      </c>
      <c r="BV25" s="11" t="n">
        <v>2330679</v>
      </c>
      <c r="BW25" s="2" t="n">
        <v>28052</v>
      </c>
      <c r="BX25" s="2" t="n">
        <v>28807</v>
      </c>
      <c r="BY25" s="2" t="n">
        <v>19.28</v>
      </c>
      <c r="BZ25" s="2" t="n">
        <v>1.58</v>
      </c>
      <c r="CA25" s="2" t="n">
        <v>0.447</v>
      </c>
      <c r="CB25" s="2" t="n">
        <v>0.825</v>
      </c>
      <c r="CC25" s="2" t="n">
        <v>150.76</v>
      </c>
      <c r="CD25" s="2" t="n">
        <v>4432</v>
      </c>
      <c r="CE25" s="2" t="n">
        <v>86943</v>
      </c>
      <c r="CF25" s="2" t="n">
        <v>50.9759267566107</v>
      </c>
      <c r="CG25" s="3" t="s">
        <v>95</v>
      </c>
    </row>
    <row r="26" customFormat="false" ht="14.65" hidden="false" customHeight="false" outlineLevel="0" collapsed="false">
      <c r="A26" s="7" t="s">
        <v>118</v>
      </c>
      <c r="B26" s="7" t="s">
        <v>143</v>
      </c>
      <c r="C26" s="7" t="s">
        <v>118</v>
      </c>
      <c r="D26" s="7" t="n">
        <v>1988</v>
      </c>
      <c r="E26" s="7" t="n">
        <v>6702.66</v>
      </c>
      <c r="F26" s="7" t="n">
        <v>31247</v>
      </c>
      <c r="G26" s="7" t="n">
        <v>12439.9</v>
      </c>
      <c r="H26" s="7" t="n">
        <v>35823.48</v>
      </c>
      <c r="I26" s="7" t="n">
        <v>48434</v>
      </c>
      <c r="J26" s="7" t="n">
        <v>16691000</v>
      </c>
      <c r="K26" s="7" t="n">
        <v>353000000</v>
      </c>
      <c r="L26" s="7" t="n">
        <v>241000000</v>
      </c>
      <c r="M26" s="3" t="n">
        <v>29423</v>
      </c>
      <c r="N26" s="3" t="n">
        <v>91401</v>
      </c>
      <c r="O26" s="3" t="n">
        <v>120824</v>
      </c>
      <c r="P26" s="3" t="n">
        <v>770</v>
      </c>
      <c r="Q26" s="3" t="n">
        <v>2241</v>
      </c>
      <c r="R26" s="3" t="n">
        <v>3011</v>
      </c>
      <c r="S26" s="3" t="n">
        <v>33549</v>
      </c>
      <c r="T26" s="3" t="n">
        <v>279203</v>
      </c>
      <c r="U26" s="3" t="n">
        <v>312752</v>
      </c>
      <c r="V26" s="3" t="n">
        <v>3231</v>
      </c>
      <c r="W26" s="3" t="n">
        <v>31588</v>
      </c>
      <c r="X26" s="3" t="n">
        <v>34819</v>
      </c>
      <c r="Y26" s="3" t="n">
        <v>62972</v>
      </c>
      <c r="Z26" s="3" t="n">
        <v>370604</v>
      </c>
      <c r="AA26" s="3" t="n">
        <v>433576</v>
      </c>
      <c r="AB26" s="3" t="n">
        <v>4001</v>
      </c>
      <c r="AC26" s="3" t="n">
        <v>33829</v>
      </c>
      <c r="AD26" s="3" t="n">
        <v>37830</v>
      </c>
      <c r="AE26" s="3" t="n">
        <v>558</v>
      </c>
      <c r="AF26" s="3" t="n">
        <f aca="false">+AG26-AE26</f>
        <v>64372</v>
      </c>
      <c r="AG26" s="3" t="n">
        <v>64930</v>
      </c>
      <c r="AH26" s="3" t="n">
        <v>127</v>
      </c>
      <c r="AI26" s="3" t="n">
        <v>40</v>
      </c>
      <c r="AJ26" s="3" t="n">
        <f aca="false">+AK26-AH26-AI26</f>
        <v>7737</v>
      </c>
      <c r="AK26" s="3" t="n">
        <v>7904</v>
      </c>
      <c r="AL26" s="3" t="n">
        <f aca="false">AG26+AK26</f>
        <v>72834</v>
      </c>
      <c r="AM26" s="3" t="n">
        <v>0</v>
      </c>
      <c r="AN26" s="3" t="n">
        <v>127</v>
      </c>
      <c r="AO26" s="3" t="n">
        <v>0</v>
      </c>
      <c r="AP26" s="3" t="n">
        <v>558</v>
      </c>
      <c r="AQ26" s="7" t="n">
        <v>63.9</v>
      </c>
      <c r="AR26" s="7" t="n">
        <v>17.2</v>
      </c>
      <c r="AS26" s="7" t="n">
        <v>18.9</v>
      </c>
      <c r="AT26" s="7" t="n">
        <v>68.1</v>
      </c>
      <c r="AU26" s="7" t="n">
        <v>16.3</v>
      </c>
      <c r="AV26" s="7" t="n">
        <v>15.6</v>
      </c>
      <c r="AW26" s="18" t="n">
        <v>0</v>
      </c>
      <c r="AX26" s="18" t="n">
        <v>0</v>
      </c>
      <c r="AY26" s="18" t="n">
        <v>0</v>
      </c>
      <c r="AZ26" s="18" t="n">
        <v>1</v>
      </c>
      <c r="BA26" s="18" t="n">
        <v>0</v>
      </c>
      <c r="BB26" s="18" t="n">
        <v>0</v>
      </c>
      <c r="BC26" s="3" t="n">
        <v>2951</v>
      </c>
      <c r="BD26" s="3" t="n">
        <v>14570</v>
      </c>
      <c r="BE26" s="3" t="n">
        <v>17521</v>
      </c>
      <c r="BF26" s="3" t="n">
        <v>1383</v>
      </c>
      <c r="BG26" s="3" t="n">
        <v>185</v>
      </c>
      <c r="BH26" s="3" t="n">
        <v>7150</v>
      </c>
      <c r="BI26" s="3" t="n">
        <v>8718</v>
      </c>
      <c r="BJ26" s="13" t="n">
        <v>332638</v>
      </c>
      <c r="BK26" s="13" t="n">
        <v>119737</v>
      </c>
      <c r="BL26" s="13" t="n">
        <v>3341</v>
      </c>
      <c r="BM26" s="13" t="n">
        <v>455716</v>
      </c>
      <c r="BN26" s="12" t="n">
        <v>54704</v>
      </c>
      <c r="BO26" s="13" t="n">
        <v>188186</v>
      </c>
      <c r="BP26" s="13" t="n">
        <v>591</v>
      </c>
      <c r="BQ26" s="13" t="n">
        <v>243481</v>
      </c>
      <c r="BR26" s="12" t="n">
        <v>33114</v>
      </c>
      <c r="BS26" s="13" t="n">
        <v>64869</v>
      </c>
      <c r="BT26" s="13" t="n">
        <v>31566</v>
      </c>
      <c r="BU26" s="13" t="n">
        <v>57622</v>
      </c>
      <c r="BV26" s="13" t="n">
        <v>886368</v>
      </c>
      <c r="BW26" s="2" t="n">
        <v>20777</v>
      </c>
      <c r="BX26" s="2" t="n">
        <v>21643</v>
      </c>
      <c r="BY26" s="2" t="n">
        <v>29.17</v>
      </c>
      <c r="BZ26" s="2" t="n">
        <v>1.65</v>
      </c>
      <c r="CA26" s="2" t="n">
        <v>0.334</v>
      </c>
      <c r="CB26" s="2" t="n">
        <v>0.74</v>
      </c>
      <c r="CC26" s="2" t="n">
        <v>211.04</v>
      </c>
      <c r="CD26" s="2" t="n">
        <v>2592</v>
      </c>
      <c r="CE26" s="2" t="n">
        <v>48434</v>
      </c>
      <c r="CF26" s="2" t="n">
        <v>53.5161250361316</v>
      </c>
      <c r="CG26" s="3" t="s">
        <v>91</v>
      </c>
    </row>
    <row r="27" customFormat="false" ht="14.65" hidden="false" customHeight="false" outlineLevel="0" collapsed="false">
      <c r="A27" s="7" t="s">
        <v>118</v>
      </c>
      <c r="B27" s="7" t="s">
        <v>144</v>
      </c>
      <c r="C27" s="7" t="s">
        <v>118</v>
      </c>
      <c r="D27" s="7" t="n">
        <v>1988</v>
      </c>
      <c r="E27" s="7" t="n">
        <v>11494.67</v>
      </c>
      <c r="F27" s="7" t="n">
        <v>77844</v>
      </c>
      <c r="G27" s="7" t="n">
        <v>24607.52</v>
      </c>
      <c r="H27" s="7" t="n">
        <v>75102.29</v>
      </c>
      <c r="I27" s="7" t="n">
        <v>69709</v>
      </c>
      <c r="J27" s="7" t="n">
        <v>24073000</v>
      </c>
      <c r="K27" s="7" t="n">
        <v>537000000</v>
      </c>
      <c r="L27" s="7" t="n">
        <v>424000000</v>
      </c>
      <c r="M27" s="3" t="n">
        <v>77983</v>
      </c>
      <c r="N27" s="3" t="n">
        <v>107018</v>
      </c>
      <c r="O27" s="3" t="n">
        <v>185001</v>
      </c>
      <c r="P27" s="3" t="n">
        <v>22339</v>
      </c>
      <c r="Q27" s="3" t="n">
        <v>13394</v>
      </c>
      <c r="R27" s="3" t="n">
        <v>35733</v>
      </c>
      <c r="S27" s="3" t="n">
        <v>60904</v>
      </c>
      <c r="T27" s="3" t="n">
        <v>254227</v>
      </c>
      <c r="U27" s="3" t="n">
        <v>315131</v>
      </c>
      <c r="V27" s="3" t="n">
        <v>16829</v>
      </c>
      <c r="W27" s="3" t="n">
        <v>103110</v>
      </c>
      <c r="X27" s="3" t="n">
        <v>119939</v>
      </c>
      <c r="Y27" s="3" t="n">
        <v>138887</v>
      </c>
      <c r="Z27" s="3" t="n">
        <v>361245</v>
      </c>
      <c r="AA27" s="3" t="n">
        <v>500132</v>
      </c>
      <c r="AB27" s="3" t="n">
        <v>39168</v>
      </c>
      <c r="AC27" s="3" t="n">
        <v>116504</v>
      </c>
      <c r="AD27" s="3" t="n">
        <v>155672</v>
      </c>
      <c r="AE27" s="3" t="n">
        <v>812</v>
      </c>
      <c r="AF27" s="3" t="n">
        <f aca="false">+AG27-AE27</f>
        <v>104825</v>
      </c>
      <c r="AG27" s="3" t="n">
        <v>105637</v>
      </c>
      <c r="AH27" s="3" t="n">
        <v>366</v>
      </c>
      <c r="AI27" s="3" t="n">
        <v>276</v>
      </c>
      <c r="AJ27" s="3" t="n">
        <f aca="false">+AK27-AH27-AI27</f>
        <v>15508</v>
      </c>
      <c r="AK27" s="3" t="n">
        <v>16150</v>
      </c>
      <c r="AL27" s="3" t="n">
        <f aca="false">AG27+AK27</f>
        <v>121787</v>
      </c>
      <c r="AM27" s="3" t="n">
        <v>210</v>
      </c>
      <c r="AN27" s="3" t="n">
        <v>156</v>
      </c>
      <c r="AO27" s="3" t="n">
        <v>5</v>
      </c>
      <c r="AP27" s="3" t="n">
        <v>807</v>
      </c>
      <c r="AQ27" s="7" t="n">
        <v>63.7</v>
      </c>
      <c r="AR27" s="7" t="n">
        <v>12</v>
      </c>
      <c r="AS27" s="7" t="n">
        <v>24.3</v>
      </c>
      <c r="AT27" s="7" t="n">
        <v>80.2</v>
      </c>
      <c r="AU27" s="7" t="n">
        <v>14.6</v>
      </c>
      <c r="AV27" s="7" t="n">
        <v>5.2</v>
      </c>
      <c r="AW27" s="18" t="n">
        <v>0</v>
      </c>
      <c r="AX27" s="18" t="n">
        <v>0</v>
      </c>
      <c r="AY27" s="18" t="n">
        <v>0</v>
      </c>
      <c r="AZ27" s="18" t="n">
        <v>0</v>
      </c>
      <c r="BA27" s="18" t="n">
        <v>1</v>
      </c>
      <c r="BB27" s="18" t="n">
        <v>0</v>
      </c>
      <c r="BC27" s="3" t="n">
        <v>5504</v>
      </c>
      <c r="BD27" s="3" t="n">
        <v>19464</v>
      </c>
      <c r="BE27" s="3" t="n">
        <v>24968</v>
      </c>
      <c r="BF27" s="3" t="n">
        <v>8497</v>
      </c>
      <c r="BG27" s="3" t="n">
        <v>2326</v>
      </c>
      <c r="BH27" s="3" t="n">
        <v>17463</v>
      </c>
      <c r="BI27" s="3" t="n">
        <v>28286</v>
      </c>
      <c r="BJ27" s="11" t="n">
        <v>464531</v>
      </c>
      <c r="BK27" s="11" t="n">
        <v>199354</v>
      </c>
      <c r="BL27" s="11" t="n">
        <v>1342</v>
      </c>
      <c r="BM27" s="11" t="n">
        <v>665227</v>
      </c>
      <c r="BN27" s="10" t="n">
        <v>210439</v>
      </c>
      <c r="BO27" s="11" t="n">
        <v>222712</v>
      </c>
      <c r="BP27" s="11" t="n">
        <v>8</v>
      </c>
      <c r="BQ27" s="11" t="n">
        <v>433159</v>
      </c>
      <c r="BR27" s="10" t="n">
        <v>177283</v>
      </c>
      <c r="BS27" s="11" t="n">
        <v>124228</v>
      </c>
      <c r="BT27" s="11" t="n">
        <v>11715</v>
      </c>
      <c r="BU27" s="11" t="n">
        <v>19421</v>
      </c>
      <c r="BV27" s="11" t="n">
        <v>1431033</v>
      </c>
      <c r="BW27" s="2" t="n">
        <v>24807</v>
      </c>
      <c r="BX27" s="2" t="n">
        <v>25475</v>
      </c>
      <c r="BY27" s="2" t="n">
        <v>23.54</v>
      </c>
      <c r="BZ27" s="2" t="n">
        <v>2.57</v>
      </c>
      <c r="CA27" s="2" t="n">
        <v>0.606</v>
      </c>
      <c r="CB27" s="2" t="n">
        <v>0.771</v>
      </c>
      <c r="CC27" s="2" t="n">
        <v>317.83</v>
      </c>
      <c r="CD27" s="2" t="n">
        <v>5158</v>
      </c>
      <c r="CE27" s="2" t="n">
        <v>69709</v>
      </c>
      <c r="CF27" s="2" t="n">
        <v>73.9933150669211</v>
      </c>
      <c r="CG27" s="3" t="s">
        <v>96</v>
      </c>
    </row>
    <row r="28" customFormat="false" ht="14.65" hidden="false" customHeight="false" outlineLevel="0" collapsed="false">
      <c r="A28" s="7" t="s">
        <v>118</v>
      </c>
      <c r="B28" s="7" t="s">
        <v>145</v>
      </c>
      <c r="C28" s="7" t="s">
        <v>118</v>
      </c>
      <c r="D28" s="7" t="n">
        <v>1988</v>
      </c>
      <c r="E28" s="7" t="n">
        <v>4165.41</v>
      </c>
      <c r="F28" s="7" t="n">
        <v>10336</v>
      </c>
      <c r="G28" s="7" t="n">
        <v>6209.03</v>
      </c>
      <c r="H28" s="7" t="n">
        <v>19331.31</v>
      </c>
      <c r="I28" s="7" t="n">
        <v>147046</v>
      </c>
      <c r="J28" s="7" t="n">
        <v>12105000</v>
      </c>
      <c r="K28" s="7" t="n">
        <v>236000000</v>
      </c>
      <c r="L28" s="7" t="n">
        <v>75017000</v>
      </c>
      <c r="M28" s="3" t="n">
        <v>4706</v>
      </c>
      <c r="N28" s="3" t="n">
        <v>35328</v>
      </c>
      <c r="O28" s="3" t="n">
        <v>40034</v>
      </c>
      <c r="P28" s="3" t="n">
        <v>485</v>
      </c>
      <c r="Q28" s="3" t="n">
        <v>2123</v>
      </c>
      <c r="R28" s="3" t="n">
        <v>2608</v>
      </c>
      <c r="S28" s="3" t="n">
        <v>33598</v>
      </c>
      <c r="T28" s="3" t="n">
        <v>116717</v>
      </c>
      <c r="U28" s="3" t="n">
        <v>150315</v>
      </c>
      <c r="V28" s="3" t="n">
        <v>3520</v>
      </c>
      <c r="W28" s="3" t="n">
        <v>12273</v>
      </c>
      <c r="X28" s="3" t="n">
        <v>15793</v>
      </c>
      <c r="Y28" s="3" t="n">
        <v>38304</v>
      </c>
      <c r="Z28" s="3" t="n">
        <v>152045</v>
      </c>
      <c r="AA28" s="3" t="n">
        <v>190349</v>
      </c>
      <c r="AB28" s="3" t="n">
        <v>4005</v>
      </c>
      <c r="AC28" s="3" t="n">
        <v>14396</v>
      </c>
      <c r="AD28" s="3" t="n">
        <v>18401</v>
      </c>
      <c r="AE28" s="3" t="n">
        <v>1137</v>
      </c>
      <c r="AF28" s="3" t="n">
        <f aca="false">+AG28-AE28</f>
        <v>66251</v>
      </c>
      <c r="AG28" s="3" t="n">
        <v>67388</v>
      </c>
      <c r="AH28" s="3" t="n">
        <v>53</v>
      </c>
      <c r="AI28" s="3" t="n">
        <v>0</v>
      </c>
      <c r="AJ28" s="3" t="n">
        <f aca="false">+AK28-AH28-AI28</f>
        <v>2327</v>
      </c>
      <c r="AK28" s="3" t="n">
        <v>2380</v>
      </c>
      <c r="AL28" s="3" t="n">
        <f aca="false">AG28+AK28</f>
        <v>69768</v>
      </c>
      <c r="AM28" s="3" t="n">
        <v>0</v>
      </c>
      <c r="AN28" s="3" t="n">
        <v>53</v>
      </c>
      <c r="AO28" s="3" t="n">
        <v>0</v>
      </c>
      <c r="AP28" s="3" t="n">
        <v>1137</v>
      </c>
      <c r="AQ28" s="7" t="n">
        <v>53.1</v>
      </c>
      <c r="AR28" s="7" t="n">
        <v>31.6</v>
      </c>
      <c r="AS28" s="7" t="n">
        <v>15.3</v>
      </c>
      <c r="AT28" s="7" t="n">
        <v>67.5</v>
      </c>
      <c r="AU28" s="7" t="n">
        <v>22.9</v>
      </c>
      <c r="AV28" s="7" t="n">
        <v>9.6</v>
      </c>
      <c r="AW28" s="18" t="n">
        <v>0</v>
      </c>
      <c r="AX28" s="18" t="n">
        <v>0</v>
      </c>
      <c r="AY28" s="18" t="n">
        <v>0</v>
      </c>
      <c r="AZ28" s="18" t="n">
        <v>0</v>
      </c>
      <c r="BA28" s="18" t="n">
        <v>0</v>
      </c>
      <c r="BB28" s="18" t="n">
        <v>0</v>
      </c>
      <c r="BC28" s="3" t="n">
        <v>1928</v>
      </c>
      <c r="BD28" s="3" t="n">
        <v>4574</v>
      </c>
      <c r="BE28" s="3" t="n">
        <v>6502</v>
      </c>
      <c r="BF28" s="3" t="n">
        <v>184</v>
      </c>
      <c r="BG28" s="3" t="n">
        <v>0</v>
      </c>
      <c r="BH28" s="3" t="n">
        <v>1839</v>
      </c>
      <c r="BI28" s="3" t="n">
        <v>2023</v>
      </c>
      <c r="BJ28" s="11" t="n">
        <v>191070</v>
      </c>
      <c r="BK28" s="11" t="n">
        <v>57652</v>
      </c>
      <c r="BL28" s="11" t="n">
        <v>9217</v>
      </c>
      <c r="BM28" s="11" t="n">
        <v>257939</v>
      </c>
      <c r="BN28" s="10" t="n">
        <v>42087</v>
      </c>
      <c r="BO28" s="11" t="n">
        <v>21356</v>
      </c>
      <c r="BP28" s="11" t="n">
        <v>4178</v>
      </c>
      <c r="BQ28" s="11" t="n">
        <v>67621</v>
      </c>
      <c r="BR28" s="10" t="n">
        <v>16843</v>
      </c>
      <c r="BS28" s="11" t="n">
        <v>19424</v>
      </c>
      <c r="BT28" s="11" t="n">
        <v>13958</v>
      </c>
      <c r="BU28" s="11" t="n">
        <v>1723</v>
      </c>
      <c r="BV28" s="11" t="n">
        <v>377508</v>
      </c>
      <c r="BW28" s="2" t="n">
        <v>23744</v>
      </c>
      <c r="BX28" s="2" t="n">
        <v>24180</v>
      </c>
      <c r="BY28" s="2" t="n">
        <v>23.74</v>
      </c>
      <c r="BZ28" s="2" t="n">
        <v>3.21</v>
      </c>
      <c r="CA28" s="2" t="n">
        <v>0.513</v>
      </c>
      <c r="CB28" s="2" t="n">
        <v>0.655</v>
      </c>
      <c r="CC28" s="2" t="n">
        <v>238.51</v>
      </c>
      <c r="CD28" s="2" t="n">
        <v>808</v>
      </c>
      <c r="CE28" s="2" t="n">
        <v>147046</v>
      </c>
      <c r="CF28" s="2" t="n">
        <v>5.49487915346218</v>
      </c>
      <c r="CG28" s="3" t="s">
        <v>91</v>
      </c>
    </row>
    <row r="29" customFormat="false" ht="14.65" hidden="false" customHeight="false" outlineLevel="0" collapsed="false">
      <c r="A29" s="7" t="s">
        <v>118</v>
      </c>
      <c r="B29" s="7" t="s">
        <v>146</v>
      </c>
      <c r="C29" s="7" t="s">
        <v>118</v>
      </c>
      <c r="D29" s="7" t="n">
        <v>1988</v>
      </c>
      <c r="E29" s="7" t="n">
        <v>5423.15</v>
      </c>
      <c r="F29" s="7" t="n">
        <v>23621</v>
      </c>
      <c r="G29" s="7" t="n">
        <v>14873.69</v>
      </c>
      <c r="H29" s="7" t="n">
        <v>29966.97</v>
      </c>
      <c r="I29" s="7" t="n">
        <v>77358</v>
      </c>
      <c r="J29" s="7" t="n">
        <v>9036000</v>
      </c>
      <c r="K29" s="7" t="n">
        <v>289000000</v>
      </c>
      <c r="L29" s="7" t="n">
        <v>160000000</v>
      </c>
      <c r="M29" s="3" t="n">
        <v>25688</v>
      </c>
      <c r="N29" s="3" t="n">
        <v>33785</v>
      </c>
      <c r="O29" s="3" t="n">
        <v>59473</v>
      </c>
      <c r="P29" s="3" t="n">
        <v>469</v>
      </c>
      <c r="Q29" s="3" t="n">
        <v>7711</v>
      </c>
      <c r="R29" s="3" t="n">
        <v>8180</v>
      </c>
      <c r="S29" s="3" t="n">
        <v>35102</v>
      </c>
      <c r="T29" s="3" t="n">
        <v>177951</v>
      </c>
      <c r="U29" s="3" t="n">
        <v>213053</v>
      </c>
      <c r="V29" s="3" t="n">
        <v>3277</v>
      </c>
      <c r="W29" s="3" t="n">
        <v>25251</v>
      </c>
      <c r="X29" s="3" t="n">
        <v>28528</v>
      </c>
      <c r="Y29" s="3" t="n">
        <v>60790</v>
      </c>
      <c r="Z29" s="3" t="n">
        <v>211736</v>
      </c>
      <c r="AA29" s="3" t="n">
        <v>272526</v>
      </c>
      <c r="AB29" s="3" t="n">
        <v>3746</v>
      </c>
      <c r="AC29" s="3" t="n">
        <v>32962</v>
      </c>
      <c r="AD29" s="3" t="n">
        <v>36708</v>
      </c>
      <c r="AE29" s="3" t="n">
        <v>437</v>
      </c>
      <c r="AF29" s="3" t="n">
        <f aca="false">+AG29-AE29</f>
        <v>87211</v>
      </c>
      <c r="AG29" s="3" t="n">
        <v>87648</v>
      </c>
      <c r="AH29" s="3" t="n">
        <v>44</v>
      </c>
      <c r="AI29" s="3" t="n">
        <v>11</v>
      </c>
      <c r="AJ29" s="3" t="n">
        <f aca="false">+AK29-AH29-AI29</f>
        <v>4999</v>
      </c>
      <c r="AK29" s="3" t="n">
        <v>5054</v>
      </c>
      <c r="AL29" s="3" t="n">
        <f aca="false">AG29+AK29</f>
        <v>92702</v>
      </c>
      <c r="AM29" s="3" t="n">
        <v>11</v>
      </c>
      <c r="AN29" s="3" t="n">
        <v>33</v>
      </c>
      <c r="AO29" s="3" t="n">
        <v>0</v>
      </c>
      <c r="AP29" s="3" t="n">
        <v>437</v>
      </c>
      <c r="AQ29" s="7" t="n">
        <v>50.3</v>
      </c>
      <c r="AR29" s="7" t="n">
        <v>23.6</v>
      </c>
      <c r="AS29" s="7" t="n">
        <v>26.1</v>
      </c>
      <c r="AT29" s="7" t="n">
        <v>68.8</v>
      </c>
      <c r="AU29" s="7" t="n">
        <v>25.5</v>
      </c>
      <c r="AV29" s="7" t="n">
        <v>5.7</v>
      </c>
      <c r="AW29" s="18" t="n">
        <v>0</v>
      </c>
      <c r="AX29" s="18" t="n">
        <v>0</v>
      </c>
      <c r="AY29" s="18" t="n">
        <v>0</v>
      </c>
      <c r="AZ29" s="18" t="n">
        <v>0</v>
      </c>
      <c r="BA29" s="18" t="n">
        <v>1</v>
      </c>
      <c r="BB29" s="18" t="n">
        <v>0</v>
      </c>
      <c r="BC29" s="3" t="n">
        <v>1994</v>
      </c>
      <c r="BD29" s="3" t="n">
        <v>6966</v>
      </c>
      <c r="BE29" s="3" t="n">
        <v>8960</v>
      </c>
      <c r="BF29" s="3" t="n">
        <v>734</v>
      </c>
      <c r="BG29" s="3" t="n">
        <v>93</v>
      </c>
      <c r="BH29" s="3" t="n">
        <v>4834</v>
      </c>
      <c r="BI29" s="3" t="n">
        <v>5661</v>
      </c>
      <c r="BJ29" s="11" t="n">
        <v>244117</v>
      </c>
      <c r="BK29" s="11" t="n">
        <v>192494</v>
      </c>
      <c r="BL29" s="11" t="n">
        <v>34598</v>
      </c>
      <c r="BM29" s="11" t="n">
        <v>471209</v>
      </c>
      <c r="BN29" s="10" t="n">
        <v>51993</v>
      </c>
      <c r="BO29" s="11" t="n">
        <v>126578</v>
      </c>
      <c r="BP29" s="11" t="n">
        <v>444</v>
      </c>
      <c r="BQ29" s="11" t="n">
        <v>179015</v>
      </c>
      <c r="BR29" s="10" t="n">
        <v>43639</v>
      </c>
      <c r="BS29" s="11" t="n">
        <v>42934</v>
      </c>
      <c r="BT29" s="11" t="n">
        <v>15349</v>
      </c>
      <c r="BU29" s="11" t="n">
        <v>27120</v>
      </c>
      <c r="BV29" s="11" t="n">
        <v>779266</v>
      </c>
      <c r="BW29" s="2" t="n">
        <v>23214</v>
      </c>
      <c r="BX29" s="2" t="n">
        <v>23698</v>
      </c>
      <c r="BY29" s="2" t="n">
        <v>22.21</v>
      </c>
      <c r="BZ29" s="2" t="n">
        <v>2.03</v>
      </c>
      <c r="CA29" s="2" t="n">
        <v>0.781</v>
      </c>
      <c r="CB29" s="2" t="n">
        <v>0.635</v>
      </c>
      <c r="CC29" s="2" t="n">
        <v>304.88</v>
      </c>
      <c r="CD29" s="2" t="n">
        <v>1593</v>
      </c>
      <c r="CE29" s="2" t="n">
        <v>77355</v>
      </c>
      <c r="CF29" s="2" t="n">
        <v>20.5933682373473</v>
      </c>
      <c r="CG29" s="3" t="s">
        <v>93</v>
      </c>
    </row>
    <row r="30" customFormat="false" ht="14.65" hidden="false" customHeight="false" outlineLevel="0" collapsed="false">
      <c r="A30" s="7" t="s">
        <v>118</v>
      </c>
      <c r="B30" s="7" t="s">
        <v>147</v>
      </c>
      <c r="C30" s="7" t="s">
        <v>118</v>
      </c>
      <c r="D30" s="7" t="n">
        <v>1988</v>
      </c>
      <c r="E30" s="7" t="n">
        <v>2782.09</v>
      </c>
      <c r="F30" s="7" t="n">
        <v>19384</v>
      </c>
      <c r="G30" s="7" t="n">
        <v>6537.47</v>
      </c>
      <c r="H30" s="7" t="n">
        <v>25760.58</v>
      </c>
      <c r="I30" s="7" t="n">
        <v>110567</v>
      </c>
      <c r="J30" s="7" t="n">
        <v>12154000</v>
      </c>
      <c r="K30" s="7" t="n">
        <v>188000000</v>
      </c>
      <c r="L30" s="7" t="n">
        <v>76017000</v>
      </c>
      <c r="M30" s="3" t="e">
        <f aca="false">#REF!</f>
        <v>#VALUE!</v>
      </c>
      <c r="N30" s="3" t="e">
        <f aca="false">#REF!</f>
        <v>#VALUE!</v>
      </c>
      <c r="O30" s="3" t="e">
        <f aca="false">#REF!</f>
        <v>#VALUE!</v>
      </c>
      <c r="P30" s="3" t="e">
        <f aca="false">#REF!</f>
        <v>#VALUE!</v>
      </c>
      <c r="Q30" s="3" t="e">
        <f aca="false">#REF!</f>
        <v>#VALUE!</v>
      </c>
      <c r="R30" s="3" t="e">
        <f aca="false">#REF!</f>
        <v>#VALUE!</v>
      </c>
      <c r="S30" s="3" t="s">
        <v>20</v>
      </c>
      <c r="T30" s="3" t="e">
        <f aca="false">#REF!</f>
        <v>#VALUE!</v>
      </c>
      <c r="U30" s="3" t="s">
        <v>20</v>
      </c>
      <c r="V30" s="3" t="s">
        <v>20</v>
      </c>
      <c r="W30" s="3" t="e">
        <f aca="false">#REF!</f>
        <v>#VALUE!</v>
      </c>
      <c r="X30" s="3" t="s">
        <v>20</v>
      </c>
      <c r="Y30" s="3" t="s">
        <v>20</v>
      </c>
      <c r="Z30" s="3" t="e">
        <f aca="false">#REF!</f>
        <v>#VALUE!</v>
      </c>
      <c r="AA30" s="3" t="s">
        <v>20</v>
      </c>
      <c r="AB30" s="3" t="s">
        <v>20</v>
      </c>
      <c r="AC30" s="3" t="e">
        <f aca="false">#REF!</f>
        <v>#VALUE!</v>
      </c>
      <c r="AD30" s="3" t="s">
        <v>20</v>
      </c>
      <c r="AE30" s="3" t="n">
        <v>480</v>
      </c>
      <c r="AF30" s="3" t="n">
        <f aca="false">+AG30-AE30</f>
        <v>40701</v>
      </c>
      <c r="AG30" s="3" t="n">
        <v>41181</v>
      </c>
      <c r="AH30" s="3" t="n">
        <v>65</v>
      </c>
      <c r="AI30" s="3" t="n">
        <v>32</v>
      </c>
      <c r="AJ30" s="3" t="n">
        <f aca="false">+AK30-AH30-AI30</f>
        <v>4500</v>
      </c>
      <c r="AK30" s="3" t="n">
        <v>4597</v>
      </c>
      <c r="AL30" s="3" t="n">
        <f aca="false">AG30+AK30</f>
        <v>45778</v>
      </c>
      <c r="AM30" s="3" t="n">
        <v>20</v>
      </c>
      <c r="AN30" s="3" t="n">
        <v>45</v>
      </c>
      <c r="AO30" s="3" t="n">
        <v>0</v>
      </c>
      <c r="AP30" s="3" t="n">
        <v>480</v>
      </c>
      <c r="AQ30" s="7" t="n">
        <v>59.5</v>
      </c>
      <c r="AR30" s="7" t="n">
        <v>14.3</v>
      </c>
      <c r="AS30" s="7" t="n">
        <v>26.2</v>
      </c>
      <c r="AT30" s="7" t="n">
        <v>811</v>
      </c>
      <c r="AU30" s="7" t="n">
        <v>13.2</v>
      </c>
      <c r="AV30" s="7" t="n">
        <v>5.70000000000001</v>
      </c>
      <c r="AW30" s="18" t="n">
        <v>0</v>
      </c>
      <c r="AX30" s="18" t="n">
        <v>0</v>
      </c>
      <c r="AY30" s="18" t="n">
        <v>0</v>
      </c>
      <c r="AZ30" s="18" t="n">
        <v>0</v>
      </c>
      <c r="BA30" s="18" t="n">
        <v>0</v>
      </c>
      <c r="BB30" s="18" t="n">
        <v>0</v>
      </c>
      <c r="BC30" s="3" t="n">
        <v>1522</v>
      </c>
      <c r="BD30" s="3" t="n">
        <v>2957</v>
      </c>
      <c r="BE30" s="3" t="n">
        <v>4479</v>
      </c>
      <c r="BF30" s="3" t="n">
        <v>1147</v>
      </c>
      <c r="BG30" s="3" t="n">
        <v>579</v>
      </c>
      <c r="BH30" s="3" t="n">
        <v>4692</v>
      </c>
      <c r="BI30" s="3" t="n">
        <v>6418</v>
      </c>
      <c r="BJ30" s="13" t="n">
        <v>168487</v>
      </c>
      <c r="BK30" s="13" t="n">
        <v>10557</v>
      </c>
      <c r="BL30" s="13" t="n">
        <v>2640</v>
      </c>
      <c r="BM30" s="13" t="n">
        <v>181684</v>
      </c>
      <c r="BN30" s="12" t="n">
        <v>58785</v>
      </c>
      <c r="BO30" s="13" t="n">
        <v>14637</v>
      </c>
      <c r="BP30" s="13" t="n">
        <v>1048</v>
      </c>
      <c r="BQ30" s="13" t="n">
        <v>74470</v>
      </c>
      <c r="BR30" s="12" t="n">
        <v>23360</v>
      </c>
      <c r="BS30" s="13" t="n">
        <v>24049</v>
      </c>
      <c r="BT30" s="13" t="n">
        <v>12962</v>
      </c>
      <c r="BU30" s="13" t="n">
        <v>16786</v>
      </c>
      <c r="BV30" s="13" t="n">
        <v>333311</v>
      </c>
      <c r="BW30" s="2" t="n">
        <v>30929</v>
      </c>
      <c r="BX30" s="2" t="n">
        <v>31617</v>
      </c>
      <c r="BY30" s="2" t="n">
        <v>20.67</v>
      </c>
      <c r="BZ30" s="2" t="n">
        <v>3.33</v>
      </c>
      <c r="CA30" s="2" t="n">
        <v>0.478</v>
      </c>
      <c r="CB30" s="2" t="n">
        <v>0.994</v>
      </c>
      <c r="CC30" s="2" t="n">
        <v>236.94</v>
      </c>
      <c r="CD30" s="2" t="n">
        <v>1284</v>
      </c>
      <c r="CE30" s="2" t="n">
        <v>110567</v>
      </c>
      <c r="CF30" s="2" t="n">
        <v>11.612868215652</v>
      </c>
      <c r="CG30" s="3" t="s">
        <v>91</v>
      </c>
    </row>
    <row r="31" customFormat="false" ht="14.65" hidden="false" customHeight="false" outlineLevel="0" collapsed="false">
      <c r="A31" s="7" t="s">
        <v>118</v>
      </c>
      <c r="B31" s="7" t="s">
        <v>148</v>
      </c>
      <c r="C31" s="7" t="s">
        <v>118</v>
      </c>
      <c r="D31" s="7" t="n">
        <v>1988</v>
      </c>
      <c r="E31" s="7" t="n">
        <v>2401.79</v>
      </c>
      <c r="F31" s="7" t="n">
        <v>20324</v>
      </c>
      <c r="G31" s="7" t="n">
        <v>4541.76</v>
      </c>
      <c r="H31" s="7" t="n">
        <v>13374.03</v>
      </c>
      <c r="I31" s="7" t="n">
        <v>9351</v>
      </c>
      <c r="J31" s="7" t="n">
        <v>12158000</v>
      </c>
      <c r="K31" s="7" t="n">
        <v>117000000</v>
      </c>
      <c r="L31" s="7" t="n">
        <v>146000000</v>
      </c>
      <c r="M31" s="3" t="n">
        <v>12430</v>
      </c>
      <c r="N31" s="3" t="n">
        <v>58654</v>
      </c>
      <c r="O31" s="3" t="n">
        <v>71084</v>
      </c>
      <c r="P31" s="3" t="n">
        <v>555</v>
      </c>
      <c r="Q31" s="3" t="n">
        <v>9422</v>
      </c>
      <c r="R31" s="3" t="n">
        <v>9977</v>
      </c>
      <c r="S31" s="3" t="n">
        <v>39037</v>
      </c>
      <c r="T31" s="3" t="n">
        <v>61431</v>
      </c>
      <c r="U31" s="3" t="n">
        <v>100468</v>
      </c>
      <c r="V31" s="3" t="n">
        <v>3699</v>
      </c>
      <c r="W31" s="3" t="n">
        <v>44484</v>
      </c>
      <c r="X31" s="3" t="n">
        <v>48183</v>
      </c>
      <c r="Y31" s="3" t="n">
        <v>51467</v>
      </c>
      <c r="Z31" s="3" t="n">
        <v>120085</v>
      </c>
      <c r="AA31" s="3" t="n">
        <v>171552</v>
      </c>
      <c r="AB31" s="3" t="n">
        <v>4254</v>
      </c>
      <c r="AC31" s="3" t="n">
        <v>53906</v>
      </c>
      <c r="AD31" s="3" t="n">
        <v>58160</v>
      </c>
      <c r="AE31" s="3" t="n">
        <v>176</v>
      </c>
      <c r="AF31" s="3" t="n">
        <f aca="false">+AG31-AE31</f>
        <v>11893</v>
      </c>
      <c r="AG31" s="3" t="n">
        <v>12069</v>
      </c>
      <c r="AH31" s="3" t="n">
        <v>48</v>
      </c>
      <c r="AI31" s="3" t="n">
        <v>40</v>
      </c>
      <c r="AJ31" s="3" t="n">
        <f aca="false">+AK31-AH31-AI31</f>
        <v>2781</v>
      </c>
      <c r="AK31" s="3" t="n">
        <v>2869</v>
      </c>
      <c r="AL31" s="3" t="n">
        <f aca="false">AG31+AK31</f>
        <v>14938</v>
      </c>
      <c r="AM31" s="3" t="n">
        <v>13</v>
      </c>
      <c r="AN31" s="3" t="n">
        <v>35</v>
      </c>
      <c r="AO31" s="3" t="n">
        <v>21</v>
      </c>
      <c r="AP31" s="3" t="n">
        <v>155</v>
      </c>
      <c r="AQ31" s="7" t="n">
        <v>74.5</v>
      </c>
      <c r="AR31" s="7" t="n">
        <v>21.8</v>
      </c>
      <c r="AS31" s="7" t="n">
        <v>3.7</v>
      </c>
      <c r="AT31" s="7" t="n">
        <v>69.3</v>
      </c>
      <c r="AU31" s="7" t="n">
        <v>27</v>
      </c>
      <c r="AV31" s="7" t="n">
        <v>3.7</v>
      </c>
      <c r="AW31" s="18" t="n">
        <v>0</v>
      </c>
      <c r="AX31" s="18" t="n">
        <v>0</v>
      </c>
      <c r="AY31" s="18" t="n">
        <v>0</v>
      </c>
      <c r="AZ31" s="18" t="n">
        <v>0</v>
      </c>
      <c r="BA31" s="18" t="n">
        <v>0</v>
      </c>
      <c r="BB31" s="18" t="n">
        <v>1</v>
      </c>
      <c r="BC31" s="3" t="n">
        <v>1330</v>
      </c>
      <c r="BD31" s="3" t="n">
        <v>5025</v>
      </c>
      <c r="BE31" s="3" t="n">
        <v>6355</v>
      </c>
      <c r="BF31" s="3" t="n">
        <v>712</v>
      </c>
      <c r="BG31" s="3" t="n">
        <v>448</v>
      </c>
      <c r="BH31" s="3" t="n">
        <v>2552</v>
      </c>
      <c r="BI31" s="3" t="n">
        <v>3712</v>
      </c>
      <c r="BJ31" s="11" t="n">
        <v>86815</v>
      </c>
      <c r="BK31" s="11" t="n">
        <v>37694</v>
      </c>
      <c r="BL31" s="11" t="n">
        <v>0</v>
      </c>
      <c r="BM31" s="11" t="n">
        <v>124509</v>
      </c>
      <c r="BN31" s="10" t="n">
        <v>98469</v>
      </c>
      <c r="BO31" s="11" t="n">
        <v>66752</v>
      </c>
      <c r="BP31" s="11" t="n">
        <v>106</v>
      </c>
      <c r="BQ31" s="11" t="n">
        <v>165327</v>
      </c>
      <c r="BR31" s="10" t="n">
        <v>96270</v>
      </c>
      <c r="BS31" s="11" t="n">
        <v>46005</v>
      </c>
      <c r="BT31" s="11" t="n">
        <v>21722</v>
      </c>
      <c r="BU31" s="11" t="n">
        <v>4533</v>
      </c>
      <c r="BV31" s="11" t="n">
        <v>458366</v>
      </c>
      <c r="BW31" s="2" t="n">
        <v>26304</v>
      </c>
      <c r="BX31" s="2" t="n">
        <v>27116</v>
      </c>
      <c r="BY31" s="2" t="n">
        <v>26.4</v>
      </c>
      <c r="BZ31" s="2" t="n">
        <v>3.09</v>
      </c>
      <c r="CA31" s="2" t="n">
        <v>0.482</v>
      </c>
      <c r="CB31" s="2" t="n">
        <v>1.115</v>
      </c>
      <c r="CC31" s="2" t="n">
        <v>209.89</v>
      </c>
      <c r="CD31" s="2" t="n">
        <v>1105</v>
      </c>
      <c r="CE31" s="2" t="n">
        <v>9351</v>
      </c>
      <c r="CF31" s="2" t="n">
        <v>118.16917976687</v>
      </c>
      <c r="CG31" s="3" t="s">
        <v>91</v>
      </c>
    </row>
    <row r="32" customFormat="false" ht="14.65" hidden="false" customHeight="false" outlineLevel="0" collapsed="false">
      <c r="A32" s="7" t="s">
        <v>118</v>
      </c>
      <c r="B32" s="7" t="s">
        <v>149</v>
      </c>
      <c r="C32" s="7" t="s">
        <v>118</v>
      </c>
      <c r="D32" s="7" t="n">
        <v>1988</v>
      </c>
      <c r="E32" s="7" t="n">
        <v>15409</v>
      </c>
      <c r="F32" s="7" t="n">
        <v>155077</v>
      </c>
      <c r="G32" s="7" t="n">
        <v>37458.49</v>
      </c>
      <c r="H32" s="7" t="n">
        <v>111049</v>
      </c>
      <c r="I32" s="7" t="n">
        <v>8722</v>
      </c>
      <c r="J32" s="7" t="n">
        <v>70674000</v>
      </c>
      <c r="K32" s="7" t="n">
        <v>691000000</v>
      </c>
      <c r="L32" s="7" t="n">
        <v>537000000</v>
      </c>
      <c r="M32" s="3" t="n">
        <v>498494</v>
      </c>
      <c r="N32" s="3" t="n">
        <v>436924</v>
      </c>
      <c r="O32" s="3" t="n">
        <v>935418</v>
      </c>
      <c r="P32" s="3" t="n">
        <v>38105</v>
      </c>
      <c r="Q32" s="3" t="n">
        <v>129416</v>
      </c>
      <c r="R32" s="3" t="n">
        <v>167521</v>
      </c>
      <c r="S32" s="3" t="n">
        <v>10398</v>
      </c>
      <c r="T32" s="3" t="n">
        <v>95880</v>
      </c>
      <c r="U32" s="3" t="n">
        <v>106278</v>
      </c>
      <c r="V32" s="3" t="n">
        <v>4801</v>
      </c>
      <c r="W32" s="3" t="n">
        <v>25387</v>
      </c>
      <c r="X32" s="3" t="n">
        <v>30188</v>
      </c>
      <c r="Y32" s="3" t="n">
        <v>508892</v>
      </c>
      <c r="Z32" s="3" t="n">
        <v>532804</v>
      </c>
      <c r="AA32" s="3" t="n">
        <v>1041696</v>
      </c>
      <c r="AB32" s="3" t="n">
        <v>42906</v>
      </c>
      <c r="AC32" s="3" t="n">
        <v>154803</v>
      </c>
      <c r="AD32" s="3" t="n">
        <v>197709</v>
      </c>
      <c r="AE32" s="3" t="n">
        <v>113</v>
      </c>
      <c r="AF32" s="3" t="n">
        <f aca="false">+AG32-AE32</f>
        <v>10955</v>
      </c>
      <c r="AG32" s="3" t="n">
        <v>11068</v>
      </c>
      <c r="AH32" s="3" t="n">
        <v>300</v>
      </c>
      <c r="AI32" s="3" t="n">
        <v>306</v>
      </c>
      <c r="AJ32" s="3" t="n">
        <f aca="false">+AK32-AH32-AI32</f>
        <v>23423</v>
      </c>
      <c r="AK32" s="3" t="n">
        <v>24029</v>
      </c>
      <c r="AL32" s="3" t="n">
        <f aca="false">AG32+AK32</f>
        <v>35097</v>
      </c>
      <c r="AM32" s="3" t="n">
        <v>246</v>
      </c>
      <c r="AN32" s="3" t="n">
        <v>54</v>
      </c>
      <c r="AO32" s="3" t="n">
        <v>56</v>
      </c>
      <c r="AP32" s="3" t="n">
        <v>57</v>
      </c>
      <c r="AQ32" s="7" t="n">
        <v>72.5</v>
      </c>
      <c r="AR32" s="7" t="n">
        <v>16.3</v>
      </c>
      <c r="AS32" s="7" t="n">
        <v>11.2</v>
      </c>
      <c r="AT32" s="7" t="n">
        <v>74.4</v>
      </c>
      <c r="AU32" s="7" t="n">
        <v>17.7</v>
      </c>
      <c r="AV32" s="7" t="n">
        <v>7.9</v>
      </c>
      <c r="AW32" s="18" t="n">
        <v>0</v>
      </c>
      <c r="AX32" s="18" t="n">
        <v>0</v>
      </c>
      <c r="AY32" s="18" t="n">
        <v>0</v>
      </c>
      <c r="AZ32" s="18" t="n">
        <v>0</v>
      </c>
      <c r="BA32" s="18" t="n">
        <v>0</v>
      </c>
      <c r="BB32" s="18" t="n">
        <v>1</v>
      </c>
      <c r="BC32" s="3" t="n">
        <v>2124</v>
      </c>
      <c r="BD32" s="3" t="n">
        <v>9726</v>
      </c>
      <c r="BE32" s="3" t="n">
        <v>11850</v>
      </c>
      <c r="BF32" s="3" t="n">
        <v>8110</v>
      </c>
      <c r="BG32" s="3" t="n">
        <v>5734</v>
      </c>
      <c r="BH32" s="3" t="n">
        <v>33716</v>
      </c>
      <c r="BI32" s="3" t="n">
        <v>47560</v>
      </c>
      <c r="BJ32" s="11" t="n">
        <v>1250419</v>
      </c>
      <c r="BK32" s="11" t="n">
        <v>100871</v>
      </c>
      <c r="BL32" s="11" t="n">
        <v>0</v>
      </c>
      <c r="BM32" s="11" t="n">
        <v>1351290</v>
      </c>
      <c r="BN32" s="10" t="n">
        <v>358862</v>
      </c>
      <c r="BO32" s="11" t="n">
        <v>342765</v>
      </c>
      <c r="BP32" s="11" t="n">
        <v>0</v>
      </c>
      <c r="BQ32" s="11" t="n">
        <v>701627</v>
      </c>
      <c r="BR32" s="10" t="n">
        <v>381121</v>
      </c>
      <c r="BS32" s="11" t="n">
        <v>254093</v>
      </c>
      <c r="BT32" s="11" t="n">
        <v>238792</v>
      </c>
      <c r="BU32" s="11" t="n">
        <v>220850</v>
      </c>
      <c r="BV32" s="11" t="n">
        <v>3147773</v>
      </c>
      <c r="BW32" s="2" t="n">
        <v>35532</v>
      </c>
      <c r="BX32" s="2" t="n">
        <v>37039</v>
      </c>
      <c r="BY32" s="2" t="n">
        <v>27.28</v>
      </c>
      <c r="BZ32" s="2" t="n">
        <v>7.11</v>
      </c>
      <c r="CA32" s="2" t="n">
        <v>0.75</v>
      </c>
      <c r="CB32" s="2" t="n">
        <v>1.175</v>
      </c>
      <c r="CC32" s="2" t="n">
        <v>320.62</v>
      </c>
      <c r="CD32" s="2" t="n">
        <v>7760</v>
      </c>
      <c r="CE32" s="2" t="n">
        <v>8722</v>
      </c>
      <c r="CF32" s="2" t="n">
        <v>889.704196285256</v>
      </c>
      <c r="CG32" s="3" t="s">
        <v>95</v>
      </c>
    </row>
    <row r="33" customFormat="false" ht="14.65" hidden="false" customHeight="false" outlineLevel="0" collapsed="false">
      <c r="A33" s="7" t="s">
        <v>118</v>
      </c>
      <c r="B33" s="7" t="s">
        <v>150</v>
      </c>
      <c r="C33" s="7" t="s">
        <v>118</v>
      </c>
      <c r="D33" s="7" t="n">
        <v>1988</v>
      </c>
      <c r="E33" s="7" t="n">
        <v>4388.96</v>
      </c>
      <c r="F33" s="7" t="n">
        <v>21618</v>
      </c>
      <c r="G33" s="7" t="n">
        <v>9192.05</v>
      </c>
      <c r="H33" s="7" t="n">
        <v>29698.23</v>
      </c>
      <c r="I33" s="7" t="n">
        <v>121598</v>
      </c>
      <c r="J33" s="7" t="n">
        <v>15861000</v>
      </c>
      <c r="K33" s="7" t="n">
        <v>258000000</v>
      </c>
      <c r="L33" s="7" t="n">
        <v>111000000</v>
      </c>
      <c r="M33" s="3" t="n">
        <v>27850</v>
      </c>
      <c r="N33" s="3" t="n">
        <v>49279</v>
      </c>
      <c r="O33" s="3" t="n">
        <v>77129</v>
      </c>
      <c r="P33" s="3" t="e">
        <f aca="false">#REF!</f>
        <v>#VALUE!</v>
      </c>
      <c r="Q33" s="3" t="e">
        <f aca="false">#REF!</f>
        <v>#VALUE!</v>
      </c>
      <c r="R33" s="3" t="e">
        <f aca="false">#REF!</f>
        <v>#VALUE!</v>
      </c>
      <c r="S33" s="3" t="n">
        <v>63130</v>
      </c>
      <c r="T33" s="3" t="n">
        <v>176558</v>
      </c>
      <c r="U33" s="3" t="n">
        <v>239688</v>
      </c>
      <c r="V33" s="3" t="s">
        <v>20</v>
      </c>
      <c r="W33" s="3" t="e">
        <f aca="false">#REF!</f>
        <v>#VALUE!</v>
      </c>
      <c r="X33" s="3" t="s">
        <v>20</v>
      </c>
      <c r="Y33" s="3" t="n">
        <v>90980</v>
      </c>
      <c r="Z33" s="3" t="n">
        <v>225837</v>
      </c>
      <c r="AA33" s="3" t="n">
        <v>316817</v>
      </c>
      <c r="AB33" s="3" t="s">
        <v>20</v>
      </c>
      <c r="AC33" s="3" t="e">
        <f aca="false">#REF!</f>
        <v>#VALUE!</v>
      </c>
      <c r="AD33" s="3" t="n">
        <v>52572</v>
      </c>
      <c r="AE33" s="3" t="n">
        <v>907</v>
      </c>
      <c r="AF33" s="3" t="n">
        <f aca="false">+AG33-AE33</f>
        <v>54054</v>
      </c>
      <c r="AG33" s="3" t="n">
        <v>54961</v>
      </c>
      <c r="AH33" s="3" t="n">
        <v>91</v>
      </c>
      <c r="AI33" s="3" t="n">
        <v>3</v>
      </c>
      <c r="AJ33" s="3" t="n">
        <f aca="false">+AK33-AH33-AI33</f>
        <v>5757</v>
      </c>
      <c r="AK33" s="3" t="n">
        <v>5851</v>
      </c>
      <c r="AL33" s="3" t="n">
        <f aca="false">AG33+AK33</f>
        <v>60812</v>
      </c>
      <c r="AM33" s="3" t="n">
        <v>26</v>
      </c>
      <c r="AN33" s="3" t="n">
        <v>65</v>
      </c>
      <c r="AO33" s="3" t="n">
        <v>10</v>
      </c>
      <c r="AP33" s="3" t="n">
        <v>897</v>
      </c>
      <c r="AQ33" s="7" t="n">
        <v>63.6</v>
      </c>
      <c r="AR33" s="7" t="n">
        <v>15.3</v>
      </c>
      <c r="AS33" s="7" t="n">
        <v>21.1</v>
      </c>
      <c r="AT33" s="7" t="n">
        <v>66</v>
      </c>
      <c r="AU33" s="7" t="n">
        <v>14.7</v>
      </c>
      <c r="AV33" s="7" t="n">
        <v>19.3</v>
      </c>
      <c r="AW33" s="18" t="n">
        <v>0</v>
      </c>
      <c r="AX33" s="18" t="n">
        <v>0</v>
      </c>
      <c r="AY33" s="18" t="n">
        <v>0</v>
      </c>
      <c r="AZ33" s="18" t="n">
        <v>0</v>
      </c>
      <c r="BA33" s="18" t="n">
        <v>0</v>
      </c>
      <c r="BB33" s="18" t="n">
        <v>0</v>
      </c>
      <c r="BC33" s="3" t="n">
        <v>3659</v>
      </c>
      <c r="BD33" s="3" t="n">
        <v>7989</v>
      </c>
      <c r="BE33" s="3" t="n">
        <v>11648</v>
      </c>
      <c r="BF33" s="3" t="n">
        <v>1202</v>
      </c>
      <c r="BG33" s="3" t="n">
        <v>2</v>
      </c>
      <c r="BH33" s="3" t="n">
        <v>5600</v>
      </c>
      <c r="BI33" s="3" t="n">
        <v>6804</v>
      </c>
      <c r="BJ33" s="11" t="n">
        <v>245616</v>
      </c>
      <c r="BK33" s="11" t="n">
        <v>38902</v>
      </c>
      <c r="BL33" s="11" t="n">
        <v>6033</v>
      </c>
      <c r="BM33" s="11" t="n">
        <v>290551</v>
      </c>
      <c r="BN33" s="10" t="n">
        <v>63812</v>
      </c>
      <c r="BO33" s="11" t="n">
        <v>38326</v>
      </c>
      <c r="BP33" s="11" t="n">
        <v>5674</v>
      </c>
      <c r="BQ33" s="11" t="n">
        <v>107812</v>
      </c>
      <c r="BR33" s="10" t="n">
        <v>65312</v>
      </c>
      <c r="BS33" s="11" t="n">
        <v>26275</v>
      </c>
      <c r="BT33" s="11" t="n">
        <v>2532</v>
      </c>
      <c r="BU33" s="11" t="n">
        <v>2014</v>
      </c>
      <c r="BV33" s="11" t="n">
        <v>494496</v>
      </c>
      <c r="BW33" s="2" t="n">
        <v>25083</v>
      </c>
      <c r="BX33" s="2" t="n">
        <v>26013</v>
      </c>
      <c r="BY33" s="2" t="n">
        <v>22.47</v>
      </c>
      <c r="BZ33" s="2" t="n">
        <v>2.68</v>
      </c>
      <c r="CA33" s="2" t="n">
        <v>0.592</v>
      </c>
      <c r="CB33" s="2" t="n">
        <v>2.241</v>
      </c>
      <c r="CC33" s="2" t="n">
        <v>298.37</v>
      </c>
      <c r="CD33" s="2" t="n">
        <v>1548</v>
      </c>
      <c r="CE33" s="2" t="n">
        <v>121598</v>
      </c>
      <c r="CF33" s="2" t="n">
        <v>12.7304725406668</v>
      </c>
      <c r="CG33" s="3" t="s">
        <v>95</v>
      </c>
    </row>
    <row r="34" customFormat="false" ht="14.65" hidden="false" customHeight="false" outlineLevel="0" collapsed="false">
      <c r="A34" s="7" t="s">
        <v>118</v>
      </c>
      <c r="B34" s="7" t="s">
        <v>151</v>
      </c>
      <c r="C34" s="7" t="s">
        <v>118</v>
      </c>
      <c r="D34" s="7" t="n">
        <v>1988</v>
      </c>
      <c r="E34" s="7" t="n">
        <v>37413.16</v>
      </c>
      <c r="F34" s="7" t="n">
        <v>334914</v>
      </c>
      <c r="G34" s="7" t="n">
        <v>136677.7</v>
      </c>
      <c r="H34" s="7" t="n">
        <v>234991.6</v>
      </c>
      <c r="I34" s="7" t="n">
        <v>54475</v>
      </c>
      <c r="J34" s="7" t="n">
        <v>26813000</v>
      </c>
      <c r="K34" s="7" t="n">
        <v>2000000000</v>
      </c>
      <c r="L34" s="7" t="n">
        <v>1740000000</v>
      </c>
      <c r="M34" s="3" t="n">
        <v>659716</v>
      </c>
      <c r="N34" s="3" t="n">
        <v>1156753</v>
      </c>
      <c r="O34" s="3" t="n">
        <v>1816469</v>
      </c>
      <c r="P34" s="3" t="n">
        <v>6566</v>
      </c>
      <c r="Q34" s="3" t="n">
        <v>139131</v>
      </c>
      <c r="R34" s="3" t="n">
        <v>145697</v>
      </c>
      <c r="S34" s="3" t="n">
        <v>308954</v>
      </c>
      <c r="T34" s="3" t="n">
        <v>79800</v>
      </c>
      <c r="U34" s="3" t="n">
        <v>388754</v>
      </c>
      <c r="V34" s="3" t="n">
        <v>104087</v>
      </c>
      <c r="W34" s="3" t="n">
        <v>37561</v>
      </c>
      <c r="X34" s="3" t="n">
        <v>141648</v>
      </c>
      <c r="Y34" s="3" t="n">
        <v>968670</v>
      </c>
      <c r="Z34" s="3" t="n">
        <v>1236553</v>
      </c>
      <c r="AA34" s="3" t="n">
        <v>2205223</v>
      </c>
      <c r="AB34" s="3" t="n">
        <v>110653</v>
      </c>
      <c r="AC34" s="3" t="n">
        <v>176692</v>
      </c>
      <c r="AD34" s="3" t="n">
        <v>287345</v>
      </c>
      <c r="AE34" s="3" t="n">
        <v>797</v>
      </c>
      <c r="AF34" s="3" t="n">
        <f aca="false">+AG34-AE34</f>
        <v>71792</v>
      </c>
      <c r="AG34" s="3" t="n">
        <v>72589</v>
      </c>
      <c r="AH34" s="3" t="n">
        <v>703</v>
      </c>
      <c r="AI34" s="3" t="n">
        <v>857</v>
      </c>
      <c r="AJ34" s="3" t="n">
        <f aca="false">+AK34-AH34-AI34</f>
        <v>37733</v>
      </c>
      <c r="AK34" s="3" t="n">
        <v>39293</v>
      </c>
      <c r="AL34" s="3" t="n">
        <f aca="false">AG34+AK34</f>
        <v>111882</v>
      </c>
      <c r="AM34" s="3" t="n">
        <v>385</v>
      </c>
      <c r="AN34" s="3" t="n">
        <v>318</v>
      </c>
      <c r="AO34" s="3" t="n">
        <v>52</v>
      </c>
      <c r="AP34" s="3" t="n">
        <v>745</v>
      </c>
      <c r="AQ34" s="7" t="n">
        <v>69.5</v>
      </c>
      <c r="AR34" s="7" t="n">
        <v>16.3</v>
      </c>
      <c r="AS34" s="7" t="n">
        <v>14.2</v>
      </c>
      <c r="AT34" s="7" t="n">
        <v>77.4</v>
      </c>
      <c r="AU34" s="7" t="n">
        <v>17.2</v>
      </c>
      <c r="AV34" s="7" t="n">
        <v>5.4</v>
      </c>
      <c r="AW34" s="18" t="n">
        <v>0</v>
      </c>
      <c r="AX34" s="18" t="n">
        <v>1</v>
      </c>
      <c r="AY34" s="18" t="n">
        <v>0</v>
      </c>
      <c r="AZ34" s="18" t="n">
        <v>0</v>
      </c>
      <c r="BA34" s="18" t="n">
        <v>0</v>
      </c>
      <c r="BB34" s="18" t="n">
        <v>1</v>
      </c>
      <c r="BC34" s="3" t="n">
        <v>5381</v>
      </c>
      <c r="BD34" s="3" t="n">
        <v>24961</v>
      </c>
      <c r="BE34" s="3" t="n">
        <v>30342</v>
      </c>
      <c r="BF34" s="3" t="n">
        <v>14475</v>
      </c>
      <c r="BG34" s="3" t="n">
        <v>14327</v>
      </c>
      <c r="BH34" s="3" t="n">
        <v>50737</v>
      </c>
      <c r="BI34" s="3" t="n">
        <v>79539</v>
      </c>
      <c r="BJ34" s="13" t="n">
        <v>1172069</v>
      </c>
      <c r="BK34" s="13" t="n">
        <v>1220310</v>
      </c>
      <c r="BL34" s="13" t="n">
        <v>176</v>
      </c>
      <c r="BM34" s="13" t="n">
        <v>2392555</v>
      </c>
      <c r="BN34" s="12" t="n">
        <v>606776</v>
      </c>
      <c r="BO34" s="13" t="n">
        <v>1839465</v>
      </c>
      <c r="BP34" s="13" t="n">
        <v>200</v>
      </c>
      <c r="BQ34" s="13" t="n">
        <v>2446441</v>
      </c>
      <c r="BR34" s="12" t="n">
        <v>616785</v>
      </c>
      <c r="BS34" s="13" t="n">
        <v>283252</v>
      </c>
      <c r="BT34" s="13" t="n">
        <v>586457</v>
      </c>
      <c r="BU34" s="13" t="n">
        <v>409463</v>
      </c>
      <c r="BV34" s="13" t="n">
        <v>6734953</v>
      </c>
      <c r="BW34" s="2" t="n">
        <v>33575</v>
      </c>
      <c r="BX34" s="2" t="n">
        <v>34776</v>
      </c>
      <c r="BY34" s="2" t="n">
        <v>29.27</v>
      </c>
      <c r="BZ34" s="2" t="n">
        <v>4.76</v>
      </c>
      <c r="CA34" s="2" t="n">
        <v>0.727</v>
      </c>
      <c r="CB34" s="2" t="n">
        <v>0.978</v>
      </c>
      <c r="CC34" s="2" t="n">
        <v>426.54</v>
      </c>
      <c r="CD34" s="2" t="n">
        <v>18058</v>
      </c>
      <c r="CE34" s="2" t="n">
        <v>54475</v>
      </c>
      <c r="CF34" s="2" t="n">
        <v>331.491509866911</v>
      </c>
      <c r="CG34" s="3" t="s">
        <v>92</v>
      </c>
    </row>
    <row r="35" customFormat="false" ht="14.65" hidden="false" customHeight="false" outlineLevel="0" collapsed="false">
      <c r="A35" s="7" t="s">
        <v>118</v>
      </c>
      <c r="B35" s="7" t="s">
        <v>152</v>
      </c>
      <c r="C35" s="7" t="s">
        <v>118</v>
      </c>
      <c r="D35" s="7" t="n">
        <v>1988</v>
      </c>
      <c r="E35" s="7" t="n">
        <v>10338.95</v>
      </c>
      <c r="F35" s="7" t="n">
        <v>96632</v>
      </c>
      <c r="G35" s="7" t="n">
        <v>27589.03</v>
      </c>
      <c r="H35" s="7" t="n">
        <v>92268.96</v>
      </c>
      <c r="I35" s="7" t="n">
        <v>53821</v>
      </c>
      <c r="J35" s="7" t="n">
        <v>78438000</v>
      </c>
      <c r="K35" s="7" t="n">
        <v>648000000</v>
      </c>
      <c r="L35" s="7" t="n">
        <v>451000000</v>
      </c>
      <c r="M35" s="3" t="n">
        <v>64284</v>
      </c>
      <c r="N35" s="3" t="n">
        <v>356506</v>
      </c>
      <c r="O35" s="3" t="n">
        <v>420790</v>
      </c>
      <c r="P35" s="3" t="n">
        <v>2913</v>
      </c>
      <c r="Q35" s="3" t="n">
        <v>285614</v>
      </c>
      <c r="R35" s="3" t="n">
        <v>288527</v>
      </c>
      <c r="S35" s="3" t="n">
        <v>95113</v>
      </c>
      <c r="T35" s="3" t="n">
        <v>304887</v>
      </c>
      <c r="U35" s="3" t="n">
        <v>400000</v>
      </c>
      <c r="V35" s="3" t="n">
        <v>8739</v>
      </c>
      <c r="W35" s="3" t="n">
        <v>86962</v>
      </c>
      <c r="X35" s="3" t="n">
        <v>95701</v>
      </c>
      <c r="Y35" s="3" t="n">
        <v>159397</v>
      </c>
      <c r="Z35" s="3" t="n">
        <v>661393</v>
      </c>
      <c r="AA35" s="3" t="n">
        <v>820790</v>
      </c>
      <c r="AB35" s="3" t="n">
        <v>11652</v>
      </c>
      <c r="AC35" s="3" t="n">
        <v>372576</v>
      </c>
      <c r="AD35" s="3" t="n">
        <v>384228</v>
      </c>
      <c r="AE35" s="3" t="n">
        <v>633</v>
      </c>
      <c r="AF35" s="3" t="n">
        <f aca="false">+AG35-AE35</f>
        <v>73672</v>
      </c>
      <c r="AG35" s="3" t="n">
        <v>74305</v>
      </c>
      <c r="AH35" s="3" t="n">
        <v>337</v>
      </c>
      <c r="AI35" s="3" t="n">
        <v>260</v>
      </c>
      <c r="AJ35" s="3" t="n">
        <f aca="false">+AK35-AH35-AI35</f>
        <v>21126</v>
      </c>
      <c r="AK35" s="3" t="n">
        <v>21723</v>
      </c>
      <c r="AL35" s="3" t="n">
        <f aca="false">AG35+AK35</f>
        <v>96028</v>
      </c>
      <c r="AM35" s="3" t="n">
        <v>87</v>
      </c>
      <c r="AN35" s="3" t="n">
        <v>250</v>
      </c>
      <c r="AO35" s="3" t="n">
        <v>18</v>
      </c>
      <c r="AP35" s="3" t="n">
        <v>615</v>
      </c>
      <c r="AQ35" s="7" t="n">
        <v>70.9</v>
      </c>
      <c r="AR35" s="7" t="n">
        <v>7.1</v>
      </c>
      <c r="AS35" s="7" t="n">
        <v>22</v>
      </c>
      <c r="AT35" s="7" t="n">
        <v>74.5</v>
      </c>
      <c r="AU35" s="7" t="n">
        <v>14.3</v>
      </c>
      <c r="AV35" s="7" t="n">
        <v>11.2</v>
      </c>
      <c r="AW35" s="18" t="n">
        <v>0</v>
      </c>
      <c r="AX35" s="18" t="n">
        <v>0</v>
      </c>
      <c r="AY35" s="18" t="n">
        <v>0</v>
      </c>
      <c r="AZ35" s="18" t="n">
        <v>1</v>
      </c>
      <c r="BA35" s="18" t="n">
        <v>0</v>
      </c>
      <c r="BB35" s="18" t="n">
        <v>0</v>
      </c>
      <c r="BC35" s="3" t="n">
        <v>6237</v>
      </c>
      <c r="BD35" s="3" t="n">
        <v>27529</v>
      </c>
      <c r="BE35" s="3" t="n">
        <v>33766</v>
      </c>
      <c r="BF35" s="3" t="n">
        <v>6050</v>
      </c>
      <c r="BG35" s="3" t="n">
        <v>2464</v>
      </c>
      <c r="BH35" s="3" t="n">
        <v>25258</v>
      </c>
      <c r="BI35" s="3" t="n">
        <v>33772</v>
      </c>
      <c r="BJ35" s="11" t="n">
        <v>772594</v>
      </c>
      <c r="BK35" s="11" t="n">
        <v>127328</v>
      </c>
      <c r="BL35" s="11" t="n">
        <v>10329</v>
      </c>
      <c r="BM35" s="11" t="n">
        <v>910251</v>
      </c>
      <c r="BN35" s="10" t="n">
        <v>362139</v>
      </c>
      <c r="BO35" s="11" t="n">
        <v>86571</v>
      </c>
      <c r="BP35" s="11" t="n">
        <v>1044</v>
      </c>
      <c r="BQ35" s="11" t="n">
        <v>449754</v>
      </c>
      <c r="BR35" s="10" t="n">
        <v>127094</v>
      </c>
      <c r="BS35" s="11" t="n">
        <v>203642</v>
      </c>
      <c r="BT35" s="11" t="n">
        <v>28870</v>
      </c>
      <c r="BU35" s="11" t="n">
        <v>17703</v>
      </c>
      <c r="BV35" s="11" t="n">
        <v>1737314</v>
      </c>
      <c r="BW35" s="2" t="n">
        <v>24581</v>
      </c>
      <c r="BX35" s="2" t="n">
        <v>25105</v>
      </c>
      <c r="BY35" s="2" t="n">
        <v>25.82</v>
      </c>
      <c r="BZ35" s="2" t="n">
        <v>1.92</v>
      </c>
      <c r="CA35" s="2" t="n">
        <v>0.448</v>
      </c>
      <c r="CB35" s="2" t="n">
        <v>0.826</v>
      </c>
      <c r="CC35" s="2" t="n">
        <v>250.09</v>
      </c>
      <c r="CD35" s="2" t="n">
        <v>6737</v>
      </c>
      <c r="CE35" s="2" t="n">
        <v>53821</v>
      </c>
      <c r="CF35" s="2" t="n">
        <v>125.174188513777</v>
      </c>
      <c r="CG35" s="3" t="s">
        <v>96</v>
      </c>
    </row>
    <row r="36" customFormat="false" ht="14.65" hidden="false" customHeight="false" outlineLevel="0" collapsed="false">
      <c r="A36" s="7" t="s">
        <v>118</v>
      </c>
      <c r="B36" s="7" t="s">
        <v>153</v>
      </c>
      <c r="C36" s="7" t="s">
        <v>118</v>
      </c>
      <c r="D36" s="7" t="n">
        <v>1988</v>
      </c>
      <c r="E36" s="7" t="n">
        <v>3129.3</v>
      </c>
      <c r="F36" s="7" t="n">
        <v>8601</v>
      </c>
      <c r="G36" s="7" t="n">
        <v>5019.72</v>
      </c>
      <c r="H36" s="7" t="n">
        <v>20859.28</v>
      </c>
      <c r="I36" s="7" t="n">
        <v>70704</v>
      </c>
      <c r="J36" s="7" t="n">
        <v>1181000</v>
      </c>
      <c r="K36" s="7" t="n">
        <v>144000000</v>
      </c>
      <c r="L36" s="7" t="n">
        <v>89492000</v>
      </c>
      <c r="M36" s="3" t="n">
        <v>12595</v>
      </c>
      <c r="N36" s="3" t="n">
        <v>38445</v>
      </c>
      <c r="O36" s="3" t="n">
        <v>51040</v>
      </c>
      <c r="P36" s="3" t="n">
        <v>244</v>
      </c>
      <c r="Q36" s="3" t="n">
        <v>1285</v>
      </c>
      <c r="R36" s="3" t="n">
        <v>1529</v>
      </c>
      <c r="S36" s="3" t="n">
        <v>19318</v>
      </c>
      <c r="T36" s="3" t="n">
        <v>52728</v>
      </c>
      <c r="U36" s="3" t="n">
        <v>72046</v>
      </c>
      <c r="V36" s="3" t="n">
        <v>3279</v>
      </c>
      <c r="W36" s="3" t="n">
        <v>25233</v>
      </c>
      <c r="X36" s="3" t="n">
        <v>28512</v>
      </c>
      <c r="Y36" s="3" t="n">
        <v>31913</v>
      </c>
      <c r="Z36" s="3" t="n">
        <v>91173</v>
      </c>
      <c r="AA36" s="3" t="n">
        <v>123086</v>
      </c>
      <c r="AB36" s="3" t="n">
        <v>3523</v>
      </c>
      <c r="AC36" s="3" t="n">
        <v>26518</v>
      </c>
      <c r="AD36" s="3" t="n">
        <v>30041</v>
      </c>
      <c r="AE36" s="3" t="n">
        <v>531</v>
      </c>
      <c r="AF36" s="3" t="n">
        <f aca="false">+AG36-AE36</f>
        <v>84378</v>
      </c>
      <c r="AG36" s="3" t="n">
        <v>84909</v>
      </c>
      <c r="AH36" s="3" t="n">
        <v>40</v>
      </c>
      <c r="AI36" s="3" t="n">
        <v>0</v>
      </c>
      <c r="AJ36" s="3" t="n">
        <f aca="false">+AK36-AH36-AI36</f>
        <v>1778</v>
      </c>
      <c r="AK36" s="3" t="n">
        <v>1818</v>
      </c>
      <c r="AL36" s="3" t="n">
        <f aca="false">AG36+AK36</f>
        <v>86727</v>
      </c>
      <c r="AM36" s="3" t="n">
        <v>3</v>
      </c>
      <c r="AN36" s="3" t="n">
        <v>37</v>
      </c>
      <c r="AO36" s="3" t="n">
        <v>0</v>
      </c>
      <c r="AP36" s="3" t="n">
        <v>531</v>
      </c>
      <c r="AQ36" s="7" t="n">
        <v>64.6</v>
      </c>
      <c r="AR36" s="7" t="n">
        <v>21.1</v>
      </c>
      <c r="AS36" s="7" t="n">
        <v>14.3</v>
      </c>
      <c r="AT36" s="7" t="n">
        <v>73.3</v>
      </c>
      <c r="AU36" s="7" t="n">
        <v>19.6</v>
      </c>
      <c r="AV36" s="7" t="n">
        <v>7.1</v>
      </c>
      <c r="AW36" s="18" t="n">
        <v>0</v>
      </c>
      <c r="AX36" s="18" t="n">
        <v>0</v>
      </c>
      <c r="AY36" s="18" t="n">
        <v>0</v>
      </c>
      <c r="AZ36" s="18" t="n">
        <v>0</v>
      </c>
      <c r="BA36" s="18" t="n">
        <v>0</v>
      </c>
      <c r="BB36" s="18" t="n">
        <v>0</v>
      </c>
      <c r="BC36" s="3" t="n">
        <v>1012</v>
      </c>
      <c r="BD36" s="3" t="n">
        <v>3485</v>
      </c>
      <c r="BE36" s="3" t="n">
        <v>4497</v>
      </c>
      <c r="BF36" s="3" t="n">
        <v>188</v>
      </c>
      <c r="BG36" s="3" t="n">
        <v>0</v>
      </c>
      <c r="BH36" s="3" t="n">
        <v>1387</v>
      </c>
      <c r="BI36" s="3" t="n">
        <v>1575</v>
      </c>
      <c r="BJ36" s="11" t="n">
        <v>93070</v>
      </c>
      <c r="BK36" s="11" t="n">
        <v>45587</v>
      </c>
      <c r="BL36" s="11" t="n">
        <v>15</v>
      </c>
      <c r="BM36" s="11" t="n">
        <v>138672</v>
      </c>
      <c r="BN36" s="10" t="n">
        <v>34178</v>
      </c>
      <c r="BO36" s="11" t="n">
        <v>50244</v>
      </c>
      <c r="BP36" s="11" t="n">
        <v>2185</v>
      </c>
      <c r="BQ36" s="11" t="n">
        <v>86607</v>
      </c>
      <c r="BR36" s="10" t="n">
        <v>20627</v>
      </c>
      <c r="BS36" s="11" t="n">
        <v>15228</v>
      </c>
      <c r="BT36" s="11" t="n">
        <v>6931</v>
      </c>
      <c r="BU36" s="11" t="n">
        <v>13499</v>
      </c>
      <c r="BV36" s="11" t="n">
        <v>281564</v>
      </c>
      <c r="BW36" s="2" t="n">
        <v>21716</v>
      </c>
      <c r="BX36" s="2" t="n">
        <v>22248</v>
      </c>
      <c r="BY36" s="2" t="n">
        <v>53.34</v>
      </c>
      <c r="BZ36" s="2" t="n">
        <v>1.02</v>
      </c>
      <c r="CA36" s="2" t="n">
        <v>0.581</v>
      </c>
      <c r="CB36" s="2" t="n">
        <v>2.157</v>
      </c>
      <c r="CC36" s="2" t="n">
        <v>328.51</v>
      </c>
      <c r="CD36" s="2" t="n">
        <v>635</v>
      </c>
      <c r="CE36" s="2" t="n">
        <v>70704</v>
      </c>
      <c r="CF36" s="2" t="n">
        <v>8.98110432224485</v>
      </c>
      <c r="CG36" s="3" t="s">
        <v>91</v>
      </c>
    </row>
    <row r="37" customFormat="false" ht="14.65" hidden="false" customHeight="false" outlineLevel="0" collapsed="false">
      <c r="A37" s="7" t="s">
        <v>118</v>
      </c>
      <c r="B37" s="7" t="s">
        <v>154</v>
      </c>
      <c r="C37" s="7" t="s">
        <v>118</v>
      </c>
      <c r="D37" s="7" t="n">
        <v>1988</v>
      </c>
      <c r="E37" s="7" t="n">
        <v>23735.85</v>
      </c>
      <c r="F37" s="7" t="n">
        <v>170707</v>
      </c>
      <c r="G37" s="7" t="n">
        <v>56826.91</v>
      </c>
      <c r="H37" s="7" t="n">
        <v>152935.7</v>
      </c>
      <c r="I37" s="7" t="n">
        <v>44828</v>
      </c>
      <c r="J37" s="7" t="n">
        <v>29341000</v>
      </c>
      <c r="K37" s="7" t="n">
        <v>1030000000</v>
      </c>
      <c r="L37" s="7" t="n">
        <v>693000000</v>
      </c>
      <c r="M37" s="3" t="n">
        <v>221034</v>
      </c>
      <c r="N37" s="3" t="n">
        <v>317734</v>
      </c>
      <c r="O37" s="3" t="n">
        <v>538768</v>
      </c>
      <c r="P37" s="3" t="n">
        <v>18514</v>
      </c>
      <c r="Q37" s="3" t="n">
        <v>67884</v>
      </c>
      <c r="R37" s="3" t="n">
        <v>86398</v>
      </c>
      <c r="S37" s="3" t="n">
        <v>87218</v>
      </c>
      <c r="T37" s="3" t="n">
        <v>196244</v>
      </c>
      <c r="U37" s="3" t="n">
        <v>283462</v>
      </c>
      <c r="V37" s="3" t="n">
        <v>27324</v>
      </c>
      <c r="W37" s="3" t="n">
        <v>285261</v>
      </c>
      <c r="X37" s="3" t="n">
        <v>312585</v>
      </c>
      <c r="Y37" s="3" t="n">
        <v>308252</v>
      </c>
      <c r="Z37" s="3" t="n">
        <v>513978</v>
      </c>
      <c r="AA37" s="3" t="n">
        <v>822230</v>
      </c>
      <c r="AB37" s="3" t="n">
        <v>45838</v>
      </c>
      <c r="AC37" s="3" t="n">
        <v>353145</v>
      </c>
      <c r="AD37" s="3" t="n">
        <v>398983</v>
      </c>
      <c r="AE37" s="3" t="n">
        <v>847</v>
      </c>
      <c r="AF37" s="3" t="n">
        <f aca="false">+AG37-AE37</f>
        <v>81408</v>
      </c>
      <c r="AG37" s="3" t="n">
        <v>82255</v>
      </c>
      <c r="AH37" s="3" t="n">
        <v>726</v>
      </c>
      <c r="AI37" s="3" t="n">
        <v>381</v>
      </c>
      <c r="AJ37" s="3" t="n">
        <f aca="false">+AK37-AH37-AI37</f>
        <v>30461</v>
      </c>
      <c r="AK37" s="3" t="n">
        <v>31568</v>
      </c>
      <c r="AL37" s="3" t="n">
        <f aca="false">AG37+AK37</f>
        <v>113823</v>
      </c>
      <c r="AM37" s="3" t="n">
        <v>212</v>
      </c>
      <c r="AN37" s="3" t="n">
        <v>514</v>
      </c>
      <c r="AO37" s="3" t="n">
        <v>15</v>
      </c>
      <c r="AP37" s="3" t="n">
        <v>832</v>
      </c>
      <c r="AQ37" s="7" t="n">
        <v>67.2</v>
      </c>
      <c r="AR37" s="7" t="n">
        <v>12.6</v>
      </c>
      <c r="AS37" s="7" t="n">
        <v>20.2</v>
      </c>
      <c r="AT37" s="7" t="n">
        <v>79.7</v>
      </c>
      <c r="AU37" s="7" t="n">
        <v>12.2</v>
      </c>
      <c r="AV37" s="7" t="n">
        <v>8.1</v>
      </c>
      <c r="AW37" s="18" t="n">
        <v>0</v>
      </c>
      <c r="AX37" s="18" t="n">
        <v>0</v>
      </c>
      <c r="AY37" s="18" t="n">
        <v>0</v>
      </c>
      <c r="AZ37" s="18" t="n">
        <v>0</v>
      </c>
      <c r="BA37" s="18" t="n">
        <v>1</v>
      </c>
      <c r="BB37" s="18" t="n">
        <v>0</v>
      </c>
      <c r="BC37" s="3" t="n">
        <v>8276</v>
      </c>
      <c r="BD37" s="3" t="n">
        <v>29153</v>
      </c>
      <c r="BE37" s="3" t="n">
        <v>37429</v>
      </c>
      <c r="BF37" s="3" t="n">
        <v>15929</v>
      </c>
      <c r="BG37" s="3" t="n">
        <v>3608</v>
      </c>
      <c r="BH37" s="3" t="n">
        <v>38255</v>
      </c>
      <c r="BI37" s="3" t="n">
        <v>57792</v>
      </c>
      <c r="BJ37" s="11" t="n">
        <v>679950</v>
      </c>
      <c r="BK37" s="11" t="n">
        <v>401989</v>
      </c>
      <c r="BL37" s="11" t="n">
        <v>211</v>
      </c>
      <c r="BM37" s="11" t="n">
        <v>1082150</v>
      </c>
      <c r="BN37" s="10" t="n">
        <v>460687</v>
      </c>
      <c r="BO37" s="11" t="n">
        <v>504058</v>
      </c>
      <c r="BP37" s="11" t="n">
        <v>23</v>
      </c>
      <c r="BQ37" s="11" t="n">
        <v>964768</v>
      </c>
      <c r="BR37" s="10" t="n">
        <v>335689</v>
      </c>
      <c r="BS37" s="11" t="n">
        <v>213155</v>
      </c>
      <c r="BT37" s="11" t="n">
        <v>51708</v>
      </c>
      <c r="BU37" s="11" t="n">
        <v>109564</v>
      </c>
      <c r="BV37" s="11" t="n">
        <v>2757034</v>
      </c>
      <c r="BW37" s="2" t="n">
        <v>27157</v>
      </c>
      <c r="BX37" s="2" t="n">
        <v>27951</v>
      </c>
      <c r="BY37" s="2" t="n">
        <v>22.5</v>
      </c>
      <c r="BZ37" s="2" t="n">
        <v>3.66</v>
      </c>
      <c r="CA37" s="2" t="n">
        <v>0.467</v>
      </c>
      <c r="CB37" s="2" t="n">
        <v>0.704</v>
      </c>
      <c r="CC37" s="2" t="n">
        <v>269.34</v>
      </c>
      <c r="CD37" s="2" t="n">
        <v>10939</v>
      </c>
      <c r="CE37" s="2" t="n">
        <v>44828</v>
      </c>
      <c r="CF37" s="2" t="n">
        <v>244.021593646828</v>
      </c>
      <c r="CG37" s="3" t="s">
        <v>91</v>
      </c>
    </row>
    <row r="38" customFormat="false" ht="14.65" hidden="false" customHeight="false" outlineLevel="0" collapsed="false">
      <c r="A38" s="7" t="s">
        <v>118</v>
      </c>
      <c r="B38" s="7" t="s">
        <v>155</v>
      </c>
      <c r="C38" s="7" t="s">
        <v>118</v>
      </c>
      <c r="D38" s="7" t="n">
        <v>1988</v>
      </c>
      <c r="E38" s="7" t="n">
        <v>6698.98</v>
      </c>
      <c r="F38" s="7" t="n">
        <v>45128</v>
      </c>
      <c r="G38" s="7" t="n">
        <v>16765.62</v>
      </c>
      <c r="H38" s="7" t="n">
        <v>64872.43</v>
      </c>
      <c r="I38" s="7" t="n">
        <v>69903</v>
      </c>
      <c r="J38" s="7" t="n">
        <v>9097000</v>
      </c>
      <c r="K38" s="7" t="n">
        <v>453000000</v>
      </c>
      <c r="L38" s="7" t="n">
        <v>270000000</v>
      </c>
      <c r="M38" s="3" t="n">
        <v>49705</v>
      </c>
      <c r="N38" s="3" t="n">
        <v>155221</v>
      </c>
      <c r="O38" s="3" t="n">
        <v>204926</v>
      </c>
      <c r="P38" s="3" t="n">
        <v>2411</v>
      </c>
      <c r="Q38" s="3" t="n">
        <v>5119</v>
      </c>
      <c r="R38" s="3" t="n">
        <v>7530</v>
      </c>
      <c r="S38" s="3" t="n">
        <v>13592</v>
      </c>
      <c r="T38" s="3" t="n">
        <v>114963</v>
      </c>
      <c r="U38" s="3" t="n">
        <v>128555</v>
      </c>
      <c r="V38" s="3" t="n">
        <v>3148</v>
      </c>
      <c r="W38" s="3" t="n">
        <v>74386</v>
      </c>
      <c r="X38" s="3" t="n">
        <v>77534</v>
      </c>
      <c r="Y38" s="3" t="n">
        <v>63297</v>
      </c>
      <c r="Z38" s="3" t="n">
        <v>270184</v>
      </c>
      <c r="AA38" s="3" t="n">
        <v>333481</v>
      </c>
      <c r="AB38" s="3" t="n">
        <v>5559</v>
      </c>
      <c r="AC38" s="3" t="n">
        <v>79505</v>
      </c>
      <c r="AD38" s="3" t="n">
        <v>85064</v>
      </c>
      <c r="AE38" s="3" t="n">
        <v>715</v>
      </c>
      <c r="AF38" s="3" t="n">
        <f aca="false">+AG38-AE38</f>
        <v>98958</v>
      </c>
      <c r="AG38" s="3" t="n">
        <v>99673</v>
      </c>
      <c r="AH38" s="3" t="n">
        <v>214</v>
      </c>
      <c r="AI38" s="3" t="n">
        <v>136</v>
      </c>
      <c r="AJ38" s="3" t="n">
        <f aca="false">+AK38-AH38-AI38</f>
        <v>12444</v>
      </c>
      <c r="AK38" s="3" t="n">
        <v>12794</v>
      </c>
      <c r="AL38" s="3" t="n">
        <f aca="false">AG38+AK38</f>
        <v>112467</v>
      </c>
      <c r="AM38" s="3" t="n">
        <v>72</v>
      </c>
      <c r="AN38" s="3" t="n">
        <v>142</v>
      </c>
      <c r="AO38" s="3" t="n">
        <v>0</v>
      </c>
      <c r="AP38" s="3" t="n">
        <v>715</v>
      </c>
      <c r="AQ38" s="7" t="n">
        <v>62.8</v>
      </c>
      <c r="AR38" s="7" t="n">
        <v>18</v>
      </c>
      <c r="AS38" s="7" t="n">
        <v>19.2</v>
      </c>
      <c r="AT38" s="7" t="n">
        <v>69.1</v>
      </c>
      <c r="AU38" s="7" t="n">
        <v>25.5</v>
      </c>
      <c r="AV38" s="7" t="n">
        <v>5.40000000000001</v>
      </c>
      <c r="AW38" s="18" t="n">
        <v>0</v>
      </c>
      <c r="AX38" s="18" t="n">
        <v>0</v>
      </c>
      <c r="AY38" s="18" t="n">
        <v>0</v>
      </c>
      <c r="AZ38" s="18" t="n">
        <v>0</v>
      </c>
      <c r="BA38" s="18" t="n">
        <v>0</v>
      </c>
      <c r="BB38" s="18" t="n">
        <v>0</v>
      </c>
      <c r="BC38" s="3" t="n">
        <v>3705</v>
      </c>
      <c r="BD38" s="3" t="n">
        <v>13662</v>
      </c>
      <c r="BE38" s="3" t="n">
        <v>17367</v>
      </c>
      <c r="BF38" s="3" t="n">
        <v>3365</v>
      </c>
      <c r="BG38" s="3" t="n">
        <v>1831</v>
      </c>
      <c r="BH38" s="3" t="n">
        <v>12556</v>
      </c>
      <c r="BI38" s="3" t="n">
        <v>17752</v>
      </c>
      <c r="BJ38" s="13" t="n">
        <v>320609</v>
      </c>
      <c r="BK38" s="13" t="n">
        <v>113422</v>
      </c>
      <c r="BL38" s="13" t="n">
        <v>4000</v>
      </c>
      <c r="BM38" s="13" t="n">
        <v>438031</v>
      </c>
      <c r="BN38" s="12" t="n">
        <v>88492</v>
      </c>
      <c r="BO38" s="13" t="n">
        <v>117914</v>
      </c>
      <c r="BP38" s="13" t="n">
        <v>17</v>
      </c>
      <c r="BQ38" s="13" t="n">
        <v>206423</v>
      </c>
      <c r="BR38" s="12" t="n">
        <v>191811</v>
      </c>
      <c r="BS38" s="13" t="n">
        <v>41384</v>
      </c>
      <c r="BT38" s="13" t="n">
        <v>56248</v>
      </c>
      <c r="BU38" s="13" t="n">
        <v>85638</v>
      </c>
      <c r="BV38" s="13" t="n">
        <v>1019535</v>
      </c>
      <c r="BW38" s="2" t="n">
        <v>23145</v>
      </c>
      <c r="BX38" s="2" t="n">
        <v>23594</v>
      </c>
      <c r="BY38" s="2" t="n">
        <v>27.52</v>
      </c>
      <c r="BZ38" s="2" t="n">
        <v>2.16</v>
      </c>
      <c r="CA38" s="2" t="n">
        <v>0.467</v>
      </c>
      <c r="CB38" s="2" t="n">
        <v>1.126</v>
      </c>
      <c r="CC38" s="2" t="n">
        <v>213.21</v>
      </c>
      <c r="CD38" s="2" t="n">
        <v>3175</v>
      </c>
      <c r="CE38" s="2" t="n">
        <v>69903</v>
      </c>
      <c r="CF38" s="2" t="n">
        <v>45.4200821137862</v>
      </c>
      <c r="CG38" s="3" t="s">
        <v>91</v>
      </c>
    </row>
    <row r="39" customFormat="false" ht="14.65" hidden="false" customHeight="false" outlineLevel="0" collapsed="false">
      <c r="A39" s="7" t="s">
        <v>118</v>
      </c>
      <c r="B39" s="7" t="s">
        <v>156</v>
      </c>
      <c r="C39" s="7" t="s">
        <v>118</v>
      </c>
      <c r="D39" s="7" t="n">
        <v>1988</v>
      </c>
      <c r="E39" s="7" t="n">
        <v>6837.71</v>
      </c>
      <c r="F39" s="7" t="n">
        <v>39101</v>
      </c>
      <c r="G39" s="7" t="n">
        <v>16140.43</v>
      </c>
      <c r="H39" s="7" t="n">
        <v>40897.2</v>
      </c>
      <c r="I39" s="7" t="n">
        <v>98386</v>
      </c>
      <c r="J39" s="7" t="n">
        <v>22951000</v>
      </c>
      <c r="K39" s="7" t="n">
        <v>427000000</v>
      </c>
      <c r="L39" s="7" t="n">
        <v>244000000</v>
      </c>
      <c r="M39" s="3" t="n">
        <v>20270</v>
      </c>
      <c r="N39" s="3" t="n">
        <v>141847</v>
      </c>
      <c r="O39" s="3" t="n">
        <v>162117</v>
      </c>
      <c r="P39" s="3" t="n">
        <v>9788</v>
      </c>
      <c r="Q39" s="3" t="n">
        <v>49226</v>
      </c>
      <c r="R39" s="3" t="n">
        <v>59014</v>
      </c>
      <c r="S39" s="3" t="n">
        <v>36947</v>
      </c>
      <c r="T39" s="3" t="n">
        <v>118079</v>
      </c>
      <c r="U39" s="3" t="n">
        <v>155026</v>
      </c>
      <c r="V39" s="3" t="n">
        <v>18564</v>
      </c>
      <c r="W39" s="3" t="n">
        <v>59139</v>
      </c>
      <c r="X39" s="3" t="n">
        <v>77703</v>
      </c>
      <c r="Y39" s="3" t="n">
        <v>57217</v>
      </c>
      <c r="Z39" s="3" t="n">
        <v>259926</v>
      </c>
      <c r="AA39" s="3" t="n">
        <v>317143</v>
      </c>
      <c r="AB39" s="3" t="n">
        <v>28352</v>
      </c>
      <c r="AC39" s="3" t="n">
        <v>108365</v>
      </c>
      <c r="AD39" s="3" t="n">
        <v>136717</v>
      </c>
      <c r="AE39" s="3" t="n">
        <v>581</v>
      </c>
      <c r="AF39" s="3" t="n">
        <f aca="false">+AG39-AE39</f>
        <v>85427</v>
      </c>
      <c r="AG39" s="3" t="n">
        <v>86008</v>
      </c>
      <c r="AH39" s="3" t="n">
        <v>146</v>
      </c>
      <c r="AI39" s="3" t="n">
        <v>53</v>
      </c>
      <c r="AJ39" s="3" t="n">
        <f aca="false">+AK39-AH39-AI39</f>
        <v>9829</v>
      </c>
      <c r="AK39" s="3" t="n">
        <v>10028</v>
      </c>
      <c r="AL39" s="3" t="n">
        <f aca="false">AG39+AK39</f>
        <v>96036</v>
      </c>
      <c r="AM39" s="3" t="n">
        <v>58</v>
      </c>
      <c r="AN39" s="3" t="n">
        <v>88</v>
      </c>
      <c r="AO39" s="3" t="n">
        <v>21</v>
      </c>
      <c r="AP39" s="3" t="n">
        <v>560</v>
      </c>
      <c r="AQ39" s="7" t="n">
        <v>54.3</v>
      </c>
      <c r="AR39" s="7" t="n">
        <v>29.5</v>
      </c>
      <c r="AS39" s="7" t="n">
        <v>16.2</v>
      </c>
      <c r="AT39" s="7" t="n">
        <v>65.5</v>
      </c>
      <c r="AU39" s="7" t="n">
        <v>28.9</v>
      </c>
      <c r="AV39" s="7" t="n">
        <v>5.6</v>
      </c>
      <c r="AW39" s="18" t="n">
        <v>0</v>
      </c>
      <c r="AX39" s="18" t="n">
        <v>0</v>
      </c>
      <c r="AY39" s="18" t="n">
        <v>0</v>
      </c>
      <c r="AZ39" s="18" t="n">
        <v>0</v>
      </c>
      <c r="BA39" s="18" t="n">
        <v>0</v>
      </c>
      <c r="BB39" s="18" t="n">
        <v>0</v>
      </c>
      <c r="BC39" s="3" t="n">
        <v>3812</v>
      </c>
      <c r="BD39" s="3" t="n">
        <v>11724</v>
      </c>
      <c r="BE39" s="3" t="n">
        <v>15536</v>
      </c>
      <c r="BF39" s="3" t="n">
        <v>2966</v>
      </c>
      <c r="BG39" s="3" t="n">
        <v>971</v>
      </c>
      <c r="BH39" s="3" t="n">
        <v>8453</v>
      </c>
      <c r="BI39" s="3" t="n">
        <v>12390</v>
      </c>
      <c r="BJ39" s="11" t="n">
        <v>335881</v>
      </c>
      <c r="BK39" s="11" t="n">
        <v>201205</v>
      </c>
      <c r="BL39" s="11" t="n">
        <v>10798</v>
      </c>
      <c r="BM39" s="11" t="n">
        <v>547884</v>
      </c>
      <c r="BN39" s="10" t="n">
        <v>120773</v>
      </c>
      <c r="BO39" s="11" t="n">
        <v>168155</v>
      </c>
      <c r="BP39" s="11" t="n">
        <v>7523</v>
      </c>
      <c r="BQ39" s="11" t="n">
        <v>296451</v>
      </c>
      <c r="BR39" s="10" t="n">
        <v>64501</v>
      </c>
      <c r="BS39" s="11" t="n">
        <v>73433</v>
      </c>
      <c r="BT39" s="11" t="n">
        <v>14067</v>
      </c>
      <c r="BU39" s="11" t="n">
        <v>24162</v>
      </c>
      <c r="BV39" s="11" t="n">
        <v>1020498</v>
      </c>
      <c r="BW39" s="2" t="n">
        <v>27778</v>
      </c>
      <c r="BX39" s="2" t="n">
        <v>28609</v>
      </c>
      <c r="BY39" s="2" t="n">
        <v>27.54</v>
      </c>
      <c r="BZ39" s="2" t="n">
        <v>7.14</v>
      </c>
      <c r="CA39" s="2" t="n">
        <v>0.456</v>
      </c>
      <c r="CB39" s="2" t="n">
        <v>0.665</v>
      </c>
      <c r="CC39" s="2" t="n">
        <v>252.68</v>
      </c>
      <c r="CD39" s="2" t="n">
        <v>2922</v>
      </c>
      <c r="CE39" s="2" t="n">
        <v>98386</v>
      </c>
      <c r="CF39" s="2" t="n">
        <v>29.6993474681357</v>
      </c>
      <c r="CG39" s="3" t="s">
        <v>91</v>
      </c>
    </row>
    <row r="40" customFormat="false" ht="14.65" hidden="false" customHeight="false" outlineLevel="0" collapsed="false">
      <c r="A40" s="7" t="s">
        <v>118</v>
      </c>
      <c r="B40" s="7" t="s">
        <v>157</v>
      </c>
      <c r="C40" s="7" t="s">
        <v>118</v>
      </c>
      <c r="D40" s="7" t="n">
        <v>1988</v>
      </c>
      <c r="E40" s="7" t="n">
        <v>24206.95</v>
      </c>
      <c r="F40" s="7" t="n">
        <v>177793</v>
      </c>
      <c r="G40" s="7" t="n">
        <v>59912.6</v>
      </c>
      <c r="H40" s="7" t="n">
        <v>162151.9</v>
      </c>
      <c r="I40" s="7" t="n">
        <v>46058</v>
      </c>
      <c r="J40" s="7" t="n">
        <v>62654000</v>
      </c>
      <c r="K40" s="7" t="n">
        <v>1500000000</v>
      </c>
      <c r="L40" s="7" t="n">
        <v>1080000000</v>
      </c>
      <c r="M40" s="3" t="n">
        <v>315428</v>
      </c>
      <c r="N40" s="3" t="n">
        <v>409182</v>
      </c>
      <c r="O40" s="3" t="n">
        <v>724610</v>
      </c>
      <c r="P40" s="3" t="n">
        <v>12640</v>
      </c>
      <c r="Q40" s="3" t="n">
        <v>342892</v>
      </c>
      <c r="R40" s="3" t="n">
        <v>355532</v>
      </c>
      <c r="S40" s="3" t="n">
        <v>295404</v>
      </c>
      <c r="T40" s="3" t="n">
        <v>265133</v>
      </c>
      <c r="U40" s="3" t="n">
        <v>560537</v>
      </c>
      <c r="V40" s="3" t="n">
        <v>43941</v>
      </c>
      <c r="W40" s="3" t="n">
        <v>124571</v>
      </c>
      <c r="X40" s="3" t="n">
        <v>168512</v>
      </c>
      <c r="Y40" s="3" t="n">
        <v>610832</v>
      </c>
      <c r="Z40" s="3" t="n">
        <v>674315</v>
      </c>
      <c r="AA40" s="3" t="n">
        <v>1285147</v>
      </c>
      <c r="AB40" s="3" t="n">
        <v>56581</v>
      </c>
      <c r="AC40" s="3" t="n">
        <v>467463</v>
      </c>
      <c r="AD40" s="3" t="n">
        <v>524044</v>
      </c>
      <c r="AE40" s="3" t="n">
        <v>1079</v>
      </c>
      <c r="AF40" s="3" t="n">
        <f aca="false">+AG40-AE40</f>
        <v>83343</v>
      </c>
      <c r="AG40" s="3" t="n">
        <v>84422</v>
      </c>
      <c r="AH40" s="3" t="n">
        <v>509</v>
      </c>
      <c r="AI40" s="3" t="n">
        <v>485</v>
      </c>
      <c r="AJ40" s="3" t="n">
        <f aca="false">+AK40-AH40-AI40</f>
        <v>31622</v>
      </c>
      <c r="AK40" s="3" t="n">
        <v>32616</v>
      </c>
      <c r="AL40" s="3" t="n">
        <f aca="false">AG40+AK40</f>
        <v>117038</v>
      </c>
      <c r="AM40" s="3" t="n">
        <v>111</v>
      </c>
      <c r="AN40" s="3" t="n">
        <v>398</v>
      </c>
      <c r="AO40" s="3" t="n">
        <v>18</v>
      </c>
      <c r="AP40" s="3" t="n">
        <v>1061</v>
      </c>
      <c r="AQ40" s="7" t="n">
        <v>60.5</v>
      </c>
      <c r="AR40" s="7" t="n">
        <v>16.5</v>
      </c>
      <c r="AS40" s="7" t="n">
        <v>23</v>
      </c>
      <c r="AT40" s="7" t="n">
        <v>73.8</v>
      </c>
      <c r="AU40" s="7" t="n">
        <v>16.2</v>
      </c>
      <c r="AV40" s="7" t="n">
        <v>10</v>
      </c>
      <c r="AW40" s="18" t="n">
        <v>0</v>
      </c>
      <c r="AX40" s="18" t="n">
        <v>0</v>
      </c>
      <c r="AY40" s="18" t="n">
        <v>0</v>
      </c>
      <c r="AZ40" s="18" t="n">
        <v>0</v>
      </c>
      <c r="BA40" s="18" t="n">
        <v>0</v>
      </c>
      <c r="BB40" s="18" t="n">
        <v>1</v>
      </c>
      <c r="BC40" s="3" t="n">
        <v>7381</v>
      </c>
      <c r="BD40" s="3" t="n">
        <v>29968</v>
      </c>
      <c r="BE40" s="3" t="n">
        <v>37349</v>
      </c>
      <c r="BF40" s="3" t="n">
        <v>8839</v>
      </c>
      <c r="BG40" s="3" t="n">
        <v>4656</v>
      </c>
      <c r="BH40" s="3" t="n">
        <v>38356</v>
      </c>
      <c r="BI40" s="3" t="n">
        <v>51851</v>
      </c>
      <c r="BJ40" s="11" t="n">
        <v>1223271</v>
      </c>
      <c r="BK40" s="11" t="n">
        <v>125258</v>
      </c>
      <c r="BL40" s="11" t="n">
        <v>268</v>
      </c>
      <c r="BM40" s="11" t="n">
        <v>1348797</v>
      </c>
      <c r="BN40" s="10" t="n">
        <v>764351</v>
      </c>
      <c r="BO40" s="11" t="n">
        <v>744656</v>
      </c>
      <c r="BP40" s="11" t="n">
        <v>85</v>
      </c>
      <c r="BQ40" s="11" t="n">
        <v>1509092</v>
      </c>
      <c r="BR40" s="10" t="n">
        <v>152494</v>
      </c>
      <c r="BS40" s="11" t="n">
        <v>443935</v>
      </c>
      <c r="BT40" s="11" t="n">
        <v>190151</v>
      </c>
      <c r="BU40" s="11" t="n">
        <v>225189</v>
      </c>
      <c r="BV40" s="11" t="n">
        <v>3869658</v>
      </c>
      <c r="BW40" s="2" t="n">
        <v>29870</v>
      </c>
      <c r="BX40" s="2" t="n">
        <v>30653</v>
      </c>
      <c r="BY40" s="2" t="n">
        <v>30.46</v>
      </c>
      <c r="BZ40" s="2" t="n">
        <v>3.7</v>
      </c>
      <c r="CA40" s="2" t="n">
        <v>0.634</v>
      </c>
      <c r="CB40" s="2" t="n">
        <v>0.998</v>
      </c>
      <c r="CC40" s="2" t="n">
        <v>317.11</v>
      </c>
      <c r="CD40" s="2" t="n">
        <v>11961</v>
      </c>
      <c r="CE40" s="2" t="n">
        <v>46058</v>
      </c>
      <c r="CF40" s="2" t="n">
        <v>259.694298493204</v>
      </c>
      <c r="CG40" s="3" t="s">
        <v>94</v>
      </c>
    </row>
    <row r="41" customFormat="false" ht="14.65" hidden="false" customHeight="false" outlineLevel="0" collapsed="false">
      <c r="A41" s="7" t="s">
        <v>118</v>
      </c>
      <c r="B41" s="7" t="s">
        <v>158</v>
      </c>
      <c r="C41" s="7" t="s">
        <v>118</v>
      </c>
      <c r="D41" s="7" t="n">
        <v>1988</v>
      </c>
      <c r="E41" s="7" t="n">
        <v>1980.89</v>
      </c>
      <c r="F41" s="7" t="n">
        <v>14517</v>
      </c>
      <c r="G41" s="7" t="n">
        <v>4332.13</v>
      </c>
      <c r="H41" s="7" t="n">
        <v>9424.25</v>
      </c>
      <c r="I41" s="7" t="n">
        <v>1545</v>
      </c>
      <c r="J41" s="7" t="n">
        <v>5917000</v>
      </c>
      <c r="K41" s="7" t="n">
        <v>168000000</v>
      </c>
      <c r="L41" s="7" t="n">
        <v>26137000</v>
      </c>
      <c r="M41" s="3" t="n">
        <v>24216</v>
      </c>
      <c r="N41" s="3" t="n">
        <v>172300</v>
      </c>
      <c r="O41" s="3" t="n">
        <v>196516</v>
      </c>
      <c r="P41" s="3" t="n">
        <v>4785</v>
      </c>
      <c r="Q41" s="3" t="n">
        <v>16366</v>
      </c>
      <c r="R41" s="3" t="n">
        <v>21151</v>
      </c>
      <c r="S41" s="3" t="n">
        <v>4734</v>
      </c>
      <c r="T41" s="3" t="n">
        <v>20313</v>
      </c>
      <c r="U41" s="3" t="n">
        <v>25047</v>
      </c>
      <c r="V41" s="3" t="n">
        <v>2051</v>
      </c>
      <c r="W41" s="3" t="n">
        <v>4680</v>
      </c>
      <c r="X41" s="3" t="n">
        <v>6731</v>
      </c>
      <c r="Y41" s="3" t="n">
        <v>28950</v>
      </c>
      <c r="Z41" s="3" t="n">
        <v>192613</v>
      </c>
      <c r="AA41" s="3" t="n">
        <v>221563</v>
      </c>
      <c r="AB41" s="3" t="n">
        <v>6836</v>
      </c>
      <c r="AC41" s="3" t="n">
        <v>21046</v>
      </c>
      <c r="AD41" s="3" t="n">
        <v>27882</v>
      </c>
      <c r="AE41" s="3" t="n">
        <v>21</v>
      </c>
      <c r="AF41" s="3" t="n">
        <f aca="false">+AG41-AE41</f>
        <v>1313</v>
      </c>
      <c r="AG41" s="3" t="n">
        <v>1334</v>
      </c>
      <c r="AH41" s="3" t="n">
        <v>49</v>
      </c>
      <c r="AI41" s="3" t="n">
        <v>68</v>
      </c>
      <c r="AJ41" s="3" t="n">
        <f aca="false">+AK41-AH41-AI41</f>
        <v>4606</v>
      </c>
      <c r="AK41" s="3" t="n">
        <v>4723</v>
      </c>
      <c r="AL41" s="3" t="n">
        <f aca="false">AG41+AK41</f>
        <v>6057</v>
      </c>
      <c r="AM41" s="3" t="n">
        <v>33</v>
      </c>
      <c r="AN41" s="3" t="n">
        <v>16</v>
      </c>
      <c r="AO41" s="3" t="n">
        <v>0</v>
      </c>
      <c r="AP41" s="3" t="n">
        <v>21</v>
      </c>
      <c r="AQ41" s="7" t="n">
        <v>74.8</v>
      </c>
      <c r="AR41" s="7" t="n">
        <v>16.9</v>
      </c>
      <c r="AS41" s="7" t="n">
        <v>8.3</v>
      </c>
      <c r="AT41" s="7" t="n">
        <v>79.9</v>
      </c>
      <c r="AU41" s="7" t="n">
        <v>14</v>
      </c>
      <c r="AV41" s="7" t="n">
        <v>6.09999999999999</v>
      </c>
      <c r="AW41" s="18" t="n">
        <v>0</v>
      </c>
      <c r="AX41" s="18" t="n">
        <v>0</v>
      </c>
      <c r="AY41" s="18" t="n">
        <v>0</v>
      </c>
      <c r="AZ41" s="18" t="n">
        <v>0</v>
      </c>
      <c r="BA41" s="18" t="n">
        <v>0</v>
      </c>
      <c r="BB41" s="18" t="n">
        <v>1</v>
      </c>
      <c r="BC41" s="3" t="n">
        <v>278</v>
      </c>
      <c r="BD41" s="3" t="n">
        <v>851</v>
      </c>
      <c r="BE41" s="3" t="n">
        <v>1129</v>
      </c>
      <c r="BF41" s="3" t="n">
        <v>1407</v>
      </c>
      <c r="BG41" s="3" t="n">
        <v>601</v>
      </c>
      <c r="BH41" s="3" t="n">
        <v>4422</v>
      </c>
      <c r="BI41" s="3" t="n">
        <v>6430</v>
      </c>
      <c r="BJ41" s="11" t="n">
        <v>136323</v>
      </c>
      <c r="BK41" s="11" t="n">
        <v>4040</v>
      </c>
      <c r="BL41" s="11" t="n">
        <v>0</v>
      </c>
      <c r="BM41" s="11" t="n">
        <v>140363</v>
      </c>
      <c r="BN41" s="10" t="n">
        <v>23710</v>
      </c>
      <c r="BO41" s="11" t="n">
        <v>17136</v>
      </c>
      <c r="BP41" s="11" t="n">
        <v>6</v>
      </c>
      <c r="BQ41" s="11" t="n">
        <v>40852</v>
      </c>
      <c r="BR41" s="10" t="n">
        <v>9798</v>
      </c>
      <c r="BS41" s="11" t="n">
        <v>28023</v>
      </c>
      <c r="BT41" s="11" t="n">
        <v>14684</v>
      </c>
      <c r="BU41" s="11" t="n">
        <v>19770</v>
      </c>
      <c r="BV41" s="11" t="n">
        <v>253490</v>
      </c>
      <c r="BW41" s="2" t="n">
        <v>31024</v>
      </c>
      <c r="BX41" s="2" t="n">
        <v>31778</v>
      </c>
      <c r="BY41" s="2" t="n">
        <v>31.17</v>
      </c>
      <c r="BZ41" s="2" t="n">
        <v>3.35</v>
      </c>
      <c r="CA41" s="2" t="n">
        <v>0.483</v>
      </c>
      <c r="CB41" s="2" t="n">
        <v>0.885</v>
      </c>
      <c r="CC41" s="2" t="n">
        <v>247.97</v>
      </c>
      <c r="CD41" s="2" t="n">
        <v>1004</v>
      </c>
      <c r="CE41" s="2" t="n">
        <v>1545</v>
      </c>
      <c r="CF41" s="2" t="n">
        <v>649.838187702265</v>
      </c>
      <c r="CG41" s="3" t="s">
        <v>94</v>
      </c>
    </row>
    <row r="42" customFormat="false" ht="14.65" hidden="false" customHeight="false" outlineLevel="0" collapsed="false">
      <c r="A42" s="7" t="s">
        <v>118</v>
      </c>
      <c r="B42" s="7" t="s">
        <v>159</v>
      </c>
      <c r="C42" s="7" t="s">
        <v>118</v>
      </c>
      <c r="D42" s="7" t="n">
        <v>1988</v>
      </c>
      <c r="E42" s="7" t="n">
        <v>4777.93</v>
      </c>
      <c r="F42" s="7" t="n">
        <v>44895</v>
      </c>
      <c r="G42" s="7" t="n">
        <v>14869.23</v>
      </c>
      <c r="H42" s="7" t="n">
        <v>52312.05</v>
      </c>
      <c r="I42" s="7" t="n">
        <v>32007</v>
      </c>
      <c r="J42" s="7" t="n">
        <v>18495000</v>
      </c>
      <c r="K42" s="7" t="n">
        <v>335000000</v>
      </c>
      <c r="L42" s="7" t="n">
        <v>195000000</v>
      </c>
      <c r="M42" s="3" t="n">
        <v>32565</v>
      </c>
      <c r="N42" s="3" t="n">
        <v>150992</v>
      </c>
      <c r="O42" s="3" t="n">
        <v>183557</v>
      </c>
      <c r="P42" s="3" t="n">
        <v>85</v>
      </c>
      <c r="Q42" s="3" t="n">
        <v>111198</v>
      </c>
      <c r="R42" s="3" t="n">
        <v>111283</v>
      </c>
      <c r="S42" s="3" t="n">
        <v>25330</v>
      </c>
      <c r="T42" s="3" t="n">
        <v>198089</v>
      </c>
      <c r="U42" s="3" t="n">
        <v>223419</v>
      </c>
      <c r="V42" s="3" t="n">
        <v>0</v>
      </c>
      <c r="W42" s="3" t="n">
        <v>15895</v>
      </c>
      <c r="X42" s="3" t="n">
        <v>15895</v>
      </c>
      <c r="Y42" s="3" t="n">
        <v>57895</v>
      </c>
      <c r="Z42" s="3" t="n">
        <v>349081</v>
      </c>
      <c r="AA42" s="3" t="n">
        <v>406976</v>
      </c>
      <c r="AB42" s="3" t="n">
        <v>85</v>
      </c>
      <c r="AC42" s="3" t="n">
        <v>127093</v>
      </c>
      <c r="AD42" s="3" t="n">
        <v>127178</v>
      </c>
      <c r="AE42" s="3" t="n">
        <v>668</v>
      </c>
      <c r="AF42" s="3" t="n">
        <f aca="false">+AG42-AE42</f>
        <v>52969</v>
      </c>
      <c r="AG42" s="3" t="n">
        <v>53637</v>
      </c>
      <c r="AH42" s="3" t="n">
        <v>142</v>
      </c>
      <c r="AI42" s="3" t="n">
        <v>70</v>
      </c>
      <c r="AJ42" s="3" t="n">
        <f aca="false">+AK42-AH42-AI42</f>
        <v>10309</v>
      </c>
      <c r="AK42" s="3" t="n">
        <v>10521</v>
      </c>
      <c r="AL42" s="3" t="n">
        <f aca="false">AG42+AK42</f>
        <v>64158</v>
      </c>
      <c r="AM42" s="3" t="n">
        <v>51</v>
      </c>
      <c r="AN42" s="3" t="n">
        <v>91</v>
      </c>
      <c r="AO42" s="3" t="n">
        <v>16</v>
      </c>
      <c r="AP42" s="3" t="n">
        <v>652</v>
      </c>
      <c r="AQ42" s="7" t="n">
        <v>70.6</v>
      </c>
      <c r="AR42" s="7" t="n">
        <v>10.6</v>
      </c>
      <c r="AS42" s="7" t="n">
        <v>18.8</v>
      </c>
      <c r="AT42" s="7" t="n">
        <v>76.6</v>
      </c>
      <c r="AU42" s="7" t="n">
        <v>12.1</v>
      </c>
      <c r="AV42" s="7" t="n">
        <v>11.3</v>
      </c>
      <c r="AW42" s="18" t="n">
        <v>0</v>
      </c>
      <c r="AX42" s="18" t="n">
        <v>0</v>
      </c>
      <c r="AY42" s="18" t="n">
        <v>0</v>
      </c>
      <c r="AZ42" s="18" t="n">
        <v>1</v>
      </c>
      <c r="BA42" s="18" t="n">
        <v>0</v>
      </c>
      <c r="BB42" s="18" t="n">
        <v>0</v>
      </c>
      <c r="BC42" s="3" t="n">
        <v>5945</v>
      </c>
      <c r="BD42" s="3" t="n">
        <v>15168</v>
      </c>
      <c r="BE42" s="3" t="n">
        <v>21113</v>
      </c>
      <c r="BF42" s="3" t="n">
        <v>2427</v>
      </c>
      <c r="BG42" s="3" t="n">
        <v>589</v>
      </c>
      <c r="BH42" s="3" t="n">
        <v>10920</v>
      </c>
      <c r="BI42" s="3" t="n">
        <v>13936</v>
      </c>
      <c r="BJ42" s="13" t="n">
        <v>332967</v>
      </c>
      <c r="BK42" s="13" t="n">
        <v>31128</v>
      </c>
      <c r="BL42" s="13" t="n">
        <v>28</v>
      </c>
      <c r="BM42" s="13" t="n">
        <v>364123</v>
      </c>
      <c r="BN42" s="12" t="n">
        <v>156266</v>
      </c>
      <c r="BO42" s="13" t="n">
        <v>43893</v>
      </c>
      <c r="BP42" s="13" t="n">
        <v>40</v>
      </c>
      <c r="BQ42" s="13" t="n">
        <v>200199</v>
      </c>
      <c r="BR42" s="12" t="n">
        <v>52696</v>
      </c>
      <c r="BS42" s="13" t="n">
        <v>86404</v>
      </c>
      <c r="BT42" s="13" t="n">
        <v>917</v>
      </c>
      <c r="BU42" s="13" t="n">
        <v>824</v>
      </c>
      <c r="BV42" s="13" t="n">
        <v>705163</v>
      </c>
      <c r="BW42" s="2" t="n">
        <v>24142</v>
      </c>
      <c r="BX42" s="2" t="n">
        <v>24336</v>
      </c>
      <c r="BY42" s="2" t="n">
        <v>24.89</v>
      </c>
      <c r="BZ42" s="2" t="n">
        <v>2.66</v>
      </c>
      <c r="CA42" s="2" t="n">
        <v>0.443</v>
      </c>
      <c r="CB42" s="2" t="n">
        <v>0.851</v>
      </c>
      <c r="CC42" s="2" t="n">
        <v>218.8</v>
      </c>
      <c r="CD42" s="2" t="n">
        <v>3560</v>
      </c>
      <c r="CE42" s="2" t="n">
        <v>32007</v>
      </c>
      <c r="CF42" s="2" t="n">
        <v>111.225669384822</v>
      </c>
      <c r="CG42" s="3" t="s">
        <v>96</v>
      </c>
    </row>
    <row r="43" customFormat="false" ht="14.65" hidden="false" customHeight="false" outlineLevel="0" collapsed="false">
      <c r="A43" s="7" t="s">
        <v>118</v>
      </c>
      <c r="B43" s="7" t="s">
        <v>160</v>
      </c>
      <c r="C43" s="7" t="s">
        <v>118</v>
      </c>
      <c r="D43" s="7" t="n">
        <v>1988</v>
      </c>
      <c r="E43" s="7" t="n">
        <v>3227.74</v>
      </c>
      <c r="F43" s="7" t="n">
        <v>8284</v>
      </c>
      <c r="G43" s="7" t="n">
        <v>5421.95</v>
      </c>
      <c r="H43" s="7" t="n">
        <v>11763.85</v>
      </c>
      <c r="I43" s="7" t="n">
        <v>77121</v>
      </c>
      <c r="J43" s="7" t="n">
        <v>2352000</v>
      </c>
      <c r="K43" s="7" t="n">
        <v>173000000</v>
      </c>
      <c r="L43" s="7" t="n">
        <v>89132000</v>
      </c>
      <c r="M43" s="3" t="n">
        <v>8696</v>
      </c>
      <c r="N43" s="3" t="n">
        <v>46384</v>
      </c>
      <c r="O43" s="3" t="n">
        <v>55080</v>
      </c>
      <c r="P43" s="3" t="n">
        <v>648</v>
      </c>
      <c r="Q43" s="3" t="n">
        <v>1537</v>
      </c>
      <c r="R43" s="3" t="n">
        <v>2185</v>
      </c>
      <c r="S43" s="3" t="n">
        <v>22248</v>
      </c>
      <c r="T43" s="3" t="n">
        <v>111723</v>
      </c>
      <c r="U43" s="3" t="n">
        <v>133971</v>
      </c>
      <c r="V43" s="3" t="n">
        <v>5088</v>
      </c>
      <c r="W43" s="3" t="n">
        <v>24580</v>
      </c>
      <c r="X43" s="3" t="n">
        <v>29668</v>
      </c>
      <c r="Y43" s="3" t="n">
        <v>30944</v>
      </c>
      <c r="Z43" s="3" t="n">
        <v>158107</v>
      </c>
      <c r="AA43" s="3" t="n">
        <v>189051</v>
      </c>
      <c r="AB43" s="3" t="n">
        <v>5736</v>
      </c>
      <c r="AC43" s="3" t="n">
        <v>26117</v>
      </c>
      <c r="AD43" s="3" t="n">
        <v>31853</v>
      </c>
      <c r="AE43" s="3" t="n">
        <v>631</v>
      </c>
      <c r="AF43" s="3" t="n">
        <f aca="false">+AG43-AE43</f>
        <v>80814</v>
      </c>
      <c r="AG43" s="3" t="n">
        <v>81445</v>
      </c>
      <c r="AH43" s="3" t="n">
        <v>47</v>
      </c>
      <c r="AI43" s="3" t="n">
        <v>3</v>
      </c>
      <c r="AJ43" s="3" t="n">
        <f aca="false">+AK43-AH43-AI43</f>
        <v>1810</v>
      </c>
      <c r="AK43" s="3" t="n">
        <v>1860</v>
      </c>
      <c r="AL43" s="3" t="n">
        <f aca="false">AG43+AK43</f>
        <v>83305</v>
      </c>
      <c r="AM43" s="3" t="n">
        <v>0</v>
      </c>
      <c r="AN43" s="3" t="n">
        <v>47</v>
      </c>
      <c r="AO43" s="3" t="n">
        <v>0</v>
      </c>
      <c r="AP43" s="3" t="n">
        <v>631</v>
      </c>
      <c r="AQ43" s="7" t="n">
        <v>72.9</v>
      </c>
      <c r="AR43" s="7" t="n">
        <v>16.4</v>
      </c>
      <c r="AS43" s="7" t="n">
        <v>10.7</v>
      </c>
      <c r="AT43" s="7" t="n">
        <v>80.6</v>
      </c>
      <c r="AU43" s="7" t="n">
        <v>16.9</v>
      </c>
      <c r="AV43" s="7" t="n">
        <v>2.50000000000001</v>
      </c>
      <c r="AW43" s="18" t="n">
        <v>0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3" t="n">
        <v>1354</v>
      </c>
      <c r="BD43" s="3" t="n">
        <v>4324</v>
      </c>
      <c r="BE43" s="3" t="n">
        <v>5678</v>
      </c>
      <c r="BF43" s="3" t="n">
        <v>229</v>
      </c>
      <c r="BG43" s="3" t="n">
        <v>17</v>
      </c>
      <c r="BH43" s="3" t="n">
        <v>1294</v>
      </c>
      <c r="BI43" s="3" t="n">
        <v>1540</v>
      </c>
      <c r="BJ43" s="11" t="n">
        <v>159816</v>
      </c>
      <c r="BK43" s="11" t="n">
        <v>68946</v>
      </c>
      <c r="BL43" s="11" t="n">
        <v>1516</v>
      </c>
      <c r="BM43" s="11" t="n">
        <v>230278</v>
      </c>
      <c r="BN43" s="10" t="n">
        <v>33371</v>
      </c>
      <c r="BO43" s="11" t="n">
        <v>68300</v>
      </c>
      <c r="BP43" s="11" t="n">
        <v>3757</v>
      </c>
      <c r="BQ43" s="11" t="n">
        <v>105428</v>
      </c>
      <c r="BR43" s="10" t="n">
        <v>21403</v>
      </c>
      <c r="BS43" s="11" t="n">
        <v>30636</v>
      </c>
      <c r="BT43" s="11" t="n">
        <v>843</v>
      </c>
      <c r="BU43" s="11" t="n">
        <v>1813</v>
      </c>
      <c r="BV43" s="11" t="n">
        <v>390401</v>
      </c>
      <c r="BW43" s="2" t="n">
        <v>21562</v>
      </c>
      <c r="BX43" s="2" t="n">
        <v>22336</v>
      </c>
      <c r="BY43" s="2" t="n">
        <v>12.8</v>
      </c>
      <c r="BZ43" s="2" t="n">
        <v>1.22</v>
      </c>
      <c r="CA43" s="2" t="n">
        <v>0.47</v>
      </c>
      <c r="CB43" s="2" t="n">
        <v>0.47</v>
      </c>
      <c r="CC43" s="2" t="n">
        <v>204.59</v>
      </c>
      <c r="CD43" s="2" t="n">
        <v>703</v>
      </c>
      <c r="CE43" s="2" t="n">
        <v>77121</v>
      </c>
      <c r="CF43" s="2" t="n">
        <v>9.11554570091155</v>
      </c>
      <c r="CG43" s="3" t="s">
        <v>93</v>
      </c>
    </row>
    <row r="44" customFormat="false" ht="14.65" hidden="false" customHeight="false" outlineLevel="0" collapsed="false">
      <c r="A44" s="7" t="s">
        <v>118</v>
      </c>
      <c r="B44" s="7" t="s">
        <v>161</v>
      </c>
      <c r="C44" s="7" t="s">
        <v>118</v>
      </c>
      <c r="D44" s="7" t="n">
        <v>1988</v>
      </c>
      <c r="E44" s="7" t="n">
        <v>11110.42</v>
      </c>
      <c r="F44" s="7" t="n">
        <v>72003</v>
      </c>
      <c r="G44" s="7" t="n">
        <v>26911.07</v>
      </c>
      <c r="H44" s="7" t="n">
        <v>71707.9</v>
      </c>
      <c r="I44" s="7" t="n">
        <v>42146</v>
      </c>
      <c r="J44" s="7" t="n">
        <v>38611000</v>
      </c>
      <c r="K44" s="7" t="n">
        <v>724000000</v>
      </c>
      <c r="L44" s="7" t="n">
        <v>352000000</v>
      </c>
      <c r="M44" s="3" t="n">
        <v>79292</v>
      </c>
      <c r="N44" s="3" t="n">
        <v>109327</v>
      </c>
      <c r="O44" s="3" t="n">
        <v>188619</v>
      </c>
      <c r="P44" s="3" t="n">
        <v>18005</v>
      </c>
      <c r="Q44" s="3" t="n">
        <v>27009</v>
      </c>
      <c r="R44" s="3" t="n">
        <v>45014</v>
      </c>
      <c r="S44" s="3" t="n">
        <v>37419</v>
      </c>
      <c r="T44" s="3" t="n">
        <v>343240</v>
      </c>
      <c r="U44" s="3" t="n">
        <v>380659</v>
      </c>
      <c r="V44" s="3" t="n">
        <v>27008</v>
      </c>
      <c r="W44" s="3" t="n">
        <v>108025</v>
      </c>
      <c r="X44" s="3" t="n">
        <v>135033</v>
      </c>
      <c r="Y44" s="3" t="n">
        <v>116711</v>
      </c>
      <c r="Z44" s="3" t="n">
        <v>452567</v>
      </c>
      <c r="AA44" s="3" t="n">
        <v>569278</v>
      </c>
      <c r="AB44" s="3" t="n">
        <v>45013</v>
      </c>
      <c r="AC44" s="3" t="n">
        <v>135034</v>
      </c>
      <c r="AD44" s="3" t="n">
        <v>180047</v>
      </c>
      <c r="AE44" s="3" t="n">
        <v>740</v>
      </c>
      <c r="AF44" s="3" t="n">
        <f aca="false">+AG44-AE44</f>
        <v>67776</v>
      </c>
      <c r="AG44" s="3" t="n">
        <v>68516</v>
      </c>
      <c r="AH44" s="3" t="n">
        <v>322</v>
      </c>
      <c r="AI44" s="3" t="n">
        <v>114</v>
      </c>
      <c r="AJ44" s="3" t="n">
        <f aca="false">+AK44-AH44-AI44</f>
        <v>16085</v>
      </c>
      <c r="AK44" s="3" t="n">
        <v>16521</v>
      </c>
      <c r="AL44" s="3" t="n">
        <f aca="false">AG44+AK44</f>
        <v>85037</v>
      </c>
      <c r="AM44" s="3" t="n">
        <v>141</v>
      </c>
      <c r="AN44" s="3" t="n">
        <v>181</v>
      </c>
      <c r="AO44" s="3" t="n">
        <v>25</v>
      </c>
      <c r="AP44" s="3" t="n">
        <v>715</v>
      </c>
      <c r="AQ44" s="7" t="n">
        <v>65</v>
      </c>
      <c r="AR44" s="7" t="n">
        <v>13.9</v>
      </c>
      <c r="AS44" s="7" t="n">
        <v>21.1</v>
      </c>
      <c r="AT44" s="7" t="n">
        <v>69.9</v>
      </c>
      <c r="AU44" s="7" t="n">
        <v>20.5</v>
      </c>
      <c r="AV44" s="7" t="n">
        <v>9.59999999999999</v>
      </c>
      <c r="AW44" s="18" t="n">
        <v>0</v>
      </c>
      <c r="AX44" s="18" t="n">
        <v>0</v>
      </c>
      <c r="AY44" s="18" t="n">
        <v>0</v>
      </c>
      <c r="AZ44" s="18" t="n">
        <v>1</v>
      </c>
      <c r="BA44" s="18" t="n">
        <v>0</v>
      </c>
      <c r="BB44" s="18" t="n">
        <v>0</v>
      </c>
      <c r="BC44" s="3" t="n">
        <v>6603</v>
      </c>
      <c r="BD44" s="3" t="n">
        <v>15998</v>
      </c>
      <c r="BE44" s="3" t="n">
        <v>22601</v>
      </c>
      <c r="BF44" s="3" t="n">
        <v>6473</v>
      </c>
      <c r="BG44" s="3" t="n">
        <v>871</v>
      </c>
      <c r="BH44" s="3" t="n">
        <v>20049</v>
      </c>
      <c r="BI44" s="3" t="n">
        <v>27393</v>
      </c>
      <c r="BJ44" s="11" t="n">
        <v>613158</v>
      </c>
      <c r="BK44" s="11" t="n">
        <v>106790</v>
      </c>
      <c r="BL44" s="11" t="n">
        <v>5777</v>
      </c>
      <c r="BM44" s="11" t="n">
        <v>725725</v>
      </c>
      <c r="BN44" s="10" t="n">
        <v>192392</v>
      </c>
      <c r="BO44" s="11" t="n">
        <v>225319</v>
      </c>
      <c r="BP44" s="11" t="n">
        <v>70</v>
      </c>
      <c r="BQ44" s="11" t="n">
        <v>417781</v>
      </c>
      <c r="BR44" s="10" t="n">
        <v>84136</v>
      </c>
      <c r="BS44" s="11" t="n">
        <v>59239</v>
      </c>
      <c r="BT44" s="11" t="n">
        <v>6057</v>
      </c>
      <c r="BU44" s="11" t="n">
        <v>16894</v>
      </c>
      <c r="BV44" s="11" t="n">
        <v>1309832</v>
      </c>
      <c r="BW44" s="2" t="n">
        <v>24812</v>
      </c>
      <c r="BX44" s="2" t="n">
        <v>25975</v>
      </c>
      <c r="BY44" s="2" t="n">
        <v>22.78</v>
      </c>
      <c r="BZ44" s="2" t="n">
        <v>1.93</v>
      </c>
      <c r="CA44" s="2" t="n">
        <v>0.443</v>
      </c>
      <c r="CB44" s="2" t="n">
        <v>0.834</v>
      </c>
      <c r="CC44" s="2" t="n">
        <v>220.25</v>
      </c>
      <c r="CD44" s="2" t="n">
        <v>4953</v>
      </c>
      <c r="CE44" s="2" t="n">
        <v>42146</v>
      </c>
      <c r="CF44" s="2" t="n">
        <v>117.520049352252</v>
      </c>
      <c r="CG44" s="3" t="s">
        <v>96</v>
      </c>
    </row>
    <row r="45" customFormat="false" ht="14.65" hidden="false" customHeight="false" outlineLevel="0" collapsed="false">
      <c r="A45" s="7" t="s">
        <v>118</v>
      </c>
      <c r="B45" s="7" t="s">
        <v>162</v>
      </c>
      <c r="C45" s="7" t="s">
        <v>118</v>
      </c>
      <c r="D45" s="7" t="n">
        <v>1988</v>
      </c>
      <c r="E45" s="7" t="n">
        <v>36718.22</v>
      </c>
      <c r="F45" s="7" t="n">
        <v>289009</v>
      </c>
      <c r="G45" s="7" t="n">
        <v>94351.33</v>
      </c>
      <c r="H45" s="7" t="n">
        <v>369738.5</v>
      </c>
      <c r="I45" s="7" t="n">
        <v>268601</v>
      </c>
      <c r="J45" s="7" t="n">
        <v>143000000</v>
      </c>
      <c r="K45" s="7" t="n">
        <v>2980000000</v>
      </c>
      <c r="L45" s="7" t="n">
        <v>1180000000</v>
      </c>
      <c r="M45" s="3" t="n">
        <v>299955</v>
      </c>
      <c r="N45" s="3" t="n">
        <v>715039</v>
      </c>
      <c r="O45" s="3" t="n">
        <v>1014994</v>
      </c>
      <c r="P45" s="3" t="n">
        <v>34146</v>
      </c>
      <c r="Q45" s="3" t="n">
        <v>107606</v>
      </c>
      <c r="R45" s="3" t="n">
        <v>141752</v>
      </c>
      <c r="S45" s="3" t="n">
        <v>156428</v>
      </c>
      <c r="T45" s="3" t="n">
        <v>807390</v>
      </c>
      <c r="U45" s="3" t="n">
        <v>963818</v>
      </c>
      <c r="V45" s="3" t="n">
        <v>162540</v>
      </c>
      <c r="W45" s="3" t="n">
        <v>355502</v>
      </c>
      <c r="X45" s="3" t="n">
        <v>518042</v>
      </c>
      <c r="Y45" s="3" t="n">
        <v>456383</v>
      </c>
      <c r="Z45" s="3" t="n">
        <v>1522429</v>
      </c>
      <c r="AA45" s="3" t="n">
        <v>1978812</v>
      </c>
      <c r="AB45" s="3" t="n">
        <v>196686</v>
      </c>
      <c r="AC45" s="3" t="n">
        <v>463108</v>
      </c>
      <c r="AD45" s="3" t="n">
        <v>659794</v>
      </c>
      <c r="AE45" s="3" t="n">
        <v>2203</v>
      </c>
      <c r="AF45" s="3" t="n">
        <f aca="false">+AG45-AE45</f>
        <v>212807</v>
      </c>
      <c r="AG45" s="3" t="n">
        <v>215010</v>
      </c>
      <c r="AH45" s="3" t="n">
        <v>1031</v>
      </c>
      <c r="AI45" s="3" t="n">
        <v>1212</v>
      </c>
      <c r="AJ45" s="3" t="n">
        <f aca="false">+AK45-AH45-AI45</f>
        <v>76889</v>
      </c>
      <c r="AK45" s="3" t="n">
        <v>79132</v>
      </c>
      <c r="AL45" s="3" t="n">
        <f aca="false">AG45+AK45</f>
        <v>294142</v>
      </c>
      <c r="AM45" s="3" t="n">
        <v>555</v>
      </c>
      <c r="AN45" s="3" t="n">
        <v>476</v>
      </c>
      <c r="AO45" s="3" t="n">
        <v>45</v>
      </c>
      <c r="AP45" s="3" t="n">
        <v>2158</v>
      </c>
      <c r="AQ45" s="7" t="n">
        <v>60.5</v>
      </c>
      <c r="AR45" s="7" t="n">
        <v>20.4</v>
      </c>
      <c r="AS45" s="7" t="n">
        <v>19.1</v>
      </c>
      <c r="AT45" s="7" t="n">
        <v>73.2</v>
      </c>
      <c r="AU45" s="7" t="n">
        <v>19.8</v>
      </c>
      <c r="AV45" s="7" t="n">
        <v>7</v>
      </c>
      <c r="AW45" s="18" t="n">
        <v>0</v>
      </c>
      <c r="AX45" s="18" t="n">
        <v>0</v>
      </c>
      <c r="AY45" s="18" t="n">
        <v>0</v>
      </c>
      <c r="AZ45" s="18" t="n">
        <v>1</v>
      </c>
      <c r="BA45" s="18" t="n">
        <v>0</v>
      </c>
      <c r="BB45" s="18" t="n">
        <v>0</v>
      </c>
      <c r="BC45" s="3" t="n">
        <v>12612</v>
      </c>
      <c r="BD45" s="3" t="n">
        <v>44556</v>
      </c>
      <c r="BE45" s="3" t="n">
        <v>57168</v>
      </c>
      <c r="BF45" s="3" t="n">
        <v>23998</v>
      </c>
      <c r="BG45" s="3" t="n">
        <v>15234</v>
      </c>
      <c r="BH45" s="3" t="n">
        <v>66929</v>
      </c>
      <c r="BI45" s="3" t="n">
        <v>106161</v>
      </c>
      <c r="BJ45" s="11" t="n">
        <v>1701015</v>
      </c>
      <c r="BK45" s="11" t="n">
        <v>578592</v>
      </c>
      <c r="BL45" s="11" t="n">
        <v>3282</v>
      </c>
      <c r="BM45" s="11" t="n">
        <v>2282889</v>
      </c>
      <c r="BN45" s="10" t="n">
        <v>564131</v>
      </c>
      <c r="BO45" s="11" t="n">
        <v>898897</v>
      </c>
      <c r="BP45" s="11" t="n">
        <v>67</v>
      </c>
      <c r="BQ45" s="11" t="n">
        <v>1463095</v>
      </c>
      <c r="BR45" s="10" t="n">
        <v>473048</v>
      </c>
      <c r="BS45" s="11" t="n">
        <v>804375</v>
      </c>
      <c r="BT45" s="11" t="n">
        <v>351868</v>
      </c>
      <c r="BU45" s="11" t="n">
        <v>246617</v>
      </c>
      <c r="BV45" s="11" t="n">
        <v>5621892</v>
      </c>
      <c r="BW45" s="2" t="n">
        <v>24957</v>
      </c>
      <c r="BX45" s="2" t="n">
        <v>25297</v>
      </c>
      <c r="BY45" s="2" t="n">
        <v>31.76</v>
      </c>
      <c r="BZ45" s="2" t="n">
        <v>2.66</v>
      </c>
      <c r="CA45" s="2" t="n">
        <v>0.322</v>
      </c>
      <c r="CB45" s="2" t="n">
        <v>0.748</v>
      </c>
      <c r="CC45" s="2" t="n">
        <v>221.41</v>
      </c>
      <c r="CD45" s="2" t="n">
        <v>17349</v>
      </c>
      <c r="CE45" s="2" t="n">
        <v>268601</v>
      </c>
      <c r="CF45" s="2" t="n">
        <v>64.5902286290818</v>
      </c>
      <c r="CG45" s="3" t="s">
        <v>91</v>
      </c>
    </row>
    <row r="46" customFormat="false" ht="14.65" hidden="false" customHeight="false" outlineLevel="0" collapsed="false">
      <c r="A46" s="7" t="s">
        <v>118</v>
      </c>
      <c r="B46" s="7" t="s">
        <v>163</v>
      </c>
      <c r="C46" s="7" t="s">
        <v>118</v>
      </c>
      <c r="D46" s="7" t="n">
        <v>1988</v>
      </c>
      <c r="E46" s="7" t="n">
        <v>4317.48</v>
      </c>
      <c r="F46" s="7" t="n">
        <v>22374</v>
      </c>
      <c r="G46" s="7" t="n">
        <v>12235.57</v>
      </c>
      <c r="H46" s="7" t="n">
        <v>23711.81</v>
      </c>
      <c r="I46" s="7" t="n">
        <v>84904</v>
      </c>
      <c r="J46" s="7" t="n">
        <v>2650000</v>
      </c>
      <c r="K46" s="7" t="n">
        <v>269000000</v>
      </c>
      <c r="L46" s="7" t="n">
        <v>120000000</v>
      </c>
      <c r="M46" s="3" t="n">
        <v>47041</v>
      </c>
      <c r="N46" s="3" t="n">
        <v>69962</v>
      </c>
      <c r="O46" s="3" t="n">
        <v>117003</v>
      </c>
      <c r="P46" s="3" t="n">
        <v>13300</v>
      </c>
      <c r="Q46" s="3" t="n">
        <v>11140</v>
      </c>
      <c r="R46" s="3" t="n">
        <v>24440</v>
      </c>
      <c r="S46" s="3" t="n">
        <v>36446</v>
      </c>
      <c r="T46" s="3" t="n">
        <v>77545</v>
      </c>
      <c r="U46" s="3" t="n">
        <v>113991</v>
      </c>
      <c r="V46" s="3" t="n">
        <v>12500</v>
      </c>
      <c r="W46" s="3" t="n">
        <v>20560</v>
      </c>
      <c r="X46" s="3" t="n">
        <v>33060</v>
      </c>
      <c r="Y46" s="3" t="n">
        <v>83487</v>
      </c>
      <c r="Z46" s="3" t="n">
        <v>147507</v>
      </c>
      <c r="AA46" s="3" t="n">
        <v>230994</v>
      </c>
      <c r="AB46" s="3" t="n">
        <v>25800</v>
      </c>
      <c r="AC46" s="3" t="n">
        <v>31700</v>
      </c>
      <c r="AD46" s="3" t="n">
        <v>57500</v>
      </c>
      <c r="AE46" s="3" t="n">
        <v>769</v>
      </c>
      <c r="AF46" s="3" t="n">
        <f aca="false">+AG46-AE46</f>
        <v>33633</v>
      </c>
      <c r="AG46" s="3" t="n">
        <v>34402</v>
      </c>
      <c r="AH46" s="3" t="n">
        <v>168</v>
      </c>
      <c r="AI46" s="3" t="n">
        <v>9</v>
      </c>
      <c r="AJ46" s="3" t="n">
        <f aca="false">+AK46-AH46-AI46</f>
        <v>5929</v>
      </c>
      <c r="AK46" s="3" t="n">
        <v>6106</v>
      </c>
      <c r="AL46" s="3" t="n">
        <f aca="false">AG46+AK46</f>
        <v>40508</v>
      </c>
      <c r="AM46" s="3" t="n">
        <v>111</v>
      </c>
      <c r="AN46" s="3" t="n">
        <v>57</v>
      </c>
      <c r="AO46" s="3" t="n">
        <v>17</v>
      </c>
      <c r="AP46" s="3" t="n">
        <v>752</v>
      </c>
      <c r="AQ46" s="7" t="n">
        <v>60.6</v>
      </c>
      <c r="AR46" s="7" t="n">
        <v>21.6</v>
      </c>
      <c r="AS46" s="7" t="n">
        <v>17.8</v>
      </c>
      <c r="AT46" s="7" t="n">
        <v>73.6</v>
      </c>
      <c r="AU46" s="7" t="n">
        <v>20.7</v>
      </c>
      <c r="AV46" s="7" t="n">
        <v>5.70000000000001</v>
      </c>
      <c r="AW46" s="18" t="n">
        <v>0</v>
      </c>
      <c r="AX46" s="18" t="n">
        <v>0</v>
      </c>
      <c r="AY46" s="18" t="n">
        <v>0</v>
      </c>
      <c r="AZ46" s="18" t="n">
        <v>0</v>
      </c>
      <c r="BA46" s="18" t="n">
        <v>0</v>
      </c>
      <c r="BB46" s="18" t="n">
        <v>0</v>
      </c>
      <c r="BC46" s="3" t="n">
        <v>2309</v>
      </c>
      <c r="BD46" s="3" t="n">
        <v>3633</v>
      </c>
      <c r="BE46" s="3" t="n">
        <v>5942</v>
      </c>
      <c r="BF46" s="3" t="n">
        <v>3321</v>
      </c>
      <c r="BG46" s="3" t="n">
        <v>90</v>
      </c>
      <c r="BH46" s="3" t="n">
        <v>6954</v>
      </c>
      <c r="BI46" s="3" t="n">
        <v>10365</v>
      </c>
      <c r="BJ46" s="13" t="n">
        <v>182428</v>
      </c>
      <c r="BK46" s="13" t="n">
        <v>68600</v>
      </c>
      <c r="BL46" s="13" t="n">
        <v>5782</v>
      </c>
      <c r="BM46" s="13" t="n">
        <v>256810</v>
      </c>
      <c r="BN46" s="12" t="n">
        <v>59893</v>
      </c>
      <c r="BO46" s="13" t="n">
        <v>72110</v>
      </c>
      <c r="BP46" s="13" t="n">
        <v>1471</v>
      </c>
      <c r="BQ46" s="13" t="n">
        <v>133474</v>
      </c>
      <c r="BR46" s="12" t="n">
        <v>40831</v>
      </c>
      <c r="BS46" s="13" t="n">
        <v>33745</v>
      </c>
      <c r="BT46" s="13" t="n">
        <v>0</v>
      </c>
      <c r="BU46" s="13" t="n">
        <v>0</v>
      </c>
      <c r="BV46" s="13" t="n">
        <v>464860</v>
      </c>
      <c r="BW46" s="2" t="n">
        <v>24221</v>
      </c>
      <c r="BX46" s="2" t="n">
        <v>25060</v>
      </c>
      <c r="BY46" s="2" t="n">
        <v>24.44</v>
      </c>
      <c r="BZ46" s="2" t="n">
        <v>2.63</v>
      </c>
      <c r="CA46" s="2" t="n">
        <v>0.466</v>
      </c>
      <c r="CB46" s="2" t="n">
        <v>1.481</v>
      </c>
      <c r="CC46" s="2" t="n">
        <v>208.36</v>
      </c>
      <c r="CD46" s="2" t="n">
        <v>1770</v>
      </c>
      <c r="CE46" s="2" t="n">
        <v>84904</v>
      </c>
      <c r="CF46" s="2" t="n">
        <v>20.8470743427872</v>
      </c>
      <c r="CG46" s="3" t="s">
        <v>96</v>
      </c>
    </row>
    <row r="47" customFormat="false" ht="14.65" hidden="false" customHeight="false" outlineLevel="0" collapsed="false">
      <c r="A47" s="7" t="s">
        <v>118</v>
      </c>
      <c r="B47" s="7" t="s">
        <v>164</v>
      </c>
      <c r="C47" s="7" t="s">
        <v>118</v>
      </c>
      <c r="D47" s="7" t="n">
        <v>1988</v>
      </c>
      <c r="E47" s="7" t="n">
        <v>1819.61</v>
      </c>
      <c r="F47" s="7" t="n">
        <v>8834</v>
      </c>
      <c r="G47" s="7" t="n">
        <v>2951.11</v>
      </c>
      <c r="H47" s="7" t="n">
        <v>7667.97</v>
      </c>
      <c r="I47" s="7" t="n">
        <v>9615</v>
      </c>
      <c r="J47" s="7" t="n">
        <v>2032000</v>
      </c>
      <c r="K47" s="7" t="n">
        <v>82864000</v>
      </c>
      <c r="L47" s="7" t="n">
        <v>83575000</v>
      </c>
      <c r="M47" s="3" t="n">
        <v>1240</v>
      </c>
      <c r="N47" s="3" t="n">
        <v>46248</v>
      </c>
      <c r="O47" s="3" t="n">
        <v>47488</v>
      </c>
      <c r="P47" s="3" t="n">
        <v>195</v>
      </c>
      <c r="Q47" s="3" t="n">
        <v>743</v>
      </c>
      <c r="R47" s="3" t="n">
        <v>938</v>
      </c>
      <c r="S47" s="3" t="n">
        <v>13511</v>
      </c>
      <c r="T47" s="3" t="n">
        <v>48863</v>
      </c>
      <c r="U47" s="3" t="n">
        <v>62374</v>
      </c>
      <c r="V47" s="3" t="n">
        <v>1432</v>
      </c>
      <c r="W47" s="3" t="n">
        <v>7378</v>
      </c>
      <c r="X47" s="3" t="n">
        <v>8810</v>
      </c>
      <c r="Y47" s="3" t="n">
        <v>14751</v>
      </c>
      <c r="Z47" s="3" t="n">
        <v>95111</v>
      </c>
      <c r="AA47" s="3" t="n">
        <v>109862</v>
      </c>
      <c r="AB47" s="3" t="n">
        <v>1627</v>
      </c>
      <c r="AC47" s="3" t="n">
        <v>8121</v>
      </c>
      <c r="AD47" s="3" t="n">
        <v>9748</v>
      </c>
      <c r="AE47" s="3" t="n">
        <v>280</v>
      </c>
      <c r="AF47" s="3" t="n">
        <f aca="false">+AG47-AE47</f>
        <v>12562</v>
      </c>
      <c r="AG47" s="3" t="n">
        <v>12842</v>
      </c>
      <c r="AH47" s="3" t="n">
        <v>40</v>
      </c>
      <c r="AI47" s="3" t="n">
        <v>20</v>
      </c>
      <c r="AJ47" s="3" t="n">
        <f aca="false">+AK47-AH47-AI47</f>
        <v>1264</v>
      </c>
      <c r="AK47" s="3" t="n">
        <v>1324</v>
      </c>
      <c r="AL47" s="3" t="n">
        <f aca="false">AG47+AK47</f>
        <v>14166</v>
      </c>
      <c r="AM47" s="3" t="n">
        <v>0</v>
      </c>
      <c r="AN47" s="3" t="n">
        <v>40</v>
      </c>
      <c r="AO47" s="3" t="n">
        <v>0</v>
      </c>
      <c r="AP47" s="3" t="n">
        <v>280</v>
      </c>
      <c r="AQ47" s="7" t="n">
        <v>80.1</v>
      </c>
      <c r="AR47" s="7" t="n">
        <v>14.8</v>
      </c>
      <c r="AS47" s="7" t="n">
        <v>5.10000000000001</v>
      </c>
      <c r="AT47" s="7" t="n">
        <v>79.7</v>
      </c>
      <c r="AU47" s="7" t="n">
        <v>16</v>
      </c>
      <c r="AV47" s="7" t="n">
        <v>4.3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  <c r="BB47" s="18" t="n">
        <v>1</v>
      </c>
      <c r="BC47" s="3" t="n">
        <v>1011</v>
      </c>
      <c r="BD47" s="3" t="n">
        <v>3304</v>
      </c>
      <c r="BE47" s="3" t="n">
        <v>4315</v>
      </c>
      <c r="BF47" s="3" t="n">
        <v>284</v>
      </c>
      <c r="BG47" s="3" t="n">
        <v>51</v>
      </c>
      <c r="BH47" s="3" t="n">
        <v>1369</v>
      </c>
      <c r="BI47" s="3" t="n">
        <v>1704</v>
      </c>
      <c r="BJ47" s="11" t="n">
        <v>87148</v>
      </c>
      <c r="BK47" s="11" t="n">
        <v>36942</v>
      </c>
      <c r="BL47" s="11" t="n">
        <v>0</v>
      </c>
      <c r="BM47" s="11" t="n">
        <v>124090</v>
      </c>
      <c r="BN47" s="10" t="n">
        <v>36024</v>
      </c>
      <c r="BO47" s="11" t="n">
        <v>54112</v>
      </c>
      <c r="BP47" s="11" t="n">
        <v>15</v>
      </c>
      <c r="BQ47" s="11" t="n">
        <v>90151</v>
      </c>
      <c r="BR47" s="10" t="n">
        <v>15067</v>
      </c>
      <c r="BS47" s="11" t="n">
        <v>21072</v>
      </c>
      <c r="BT47" s="11" t="n">
        <v>2015</v>
      </c>
      <c r="BU47" s="11" t="n">
        <v>5990</v>
      </c>
      <c r="BV47" s="11" t="n">
        <v>258385</v>
      </c>
      <c r="BW47" s="2" t="n">
        <v>24989</v>
      </c>
      <c r="BX47" s="2" t="n">
        <v>25253</v>
      </c>
      <c r="BY47" s="2" t="n">
        <v>32.83</v>
      </c>
      <c r="BZ47" s="2" t="n">
        <v>2.13</v>
      </c>
      <c r="CA47" s="2" t="n">
        <v>0.491</v>
      </c>
      <c r="CB47" s="2" t="n">
        <v>0.82</v>
      </c>
      <c r="CC47" s="2" t="n">
        <v>263.2</v>
      </c>
      <c r="CD47" s="2" t="n">
        <v>567</v>
      </c>
      <c r="CE47" s="2" t="n">
        <v>9615</v>
      </c>
      <c r="CF47" s="2" t="n">
        <v>58.9703588143526</v>
      </c>
      <c r="CG47" s="3" t="s">
        <v>91</v>
      </c>
    </row>
    <row r="48" customFormat="false" ht="14.65" hidden="false" customHeight="false" outlineLevel="0" collapsed="false">
      <c r="A48" s="7" t="s">
        <v>118</v>
      </c>
      <c r="B48" s="7" t="s">
        <v>165</v>
      </c>
      <c r="C48" s="7" t="s">
        <v>118</v>
      </c>
      <c r="D48" s="7" t="n">
        <v>1988</v>
      </c>
      <c r="E48" s="7" t="n">
        <v>14931.72</v>
      </c>
      <c r="F48" s="7" t="n">
        <v>99942</v>
      </c>
      <c r="G48" s="7" t="n">
        <v>29694.37</v>
      </c>
      <c r="H48" s="7" t="n">
        <v>79632.23</v>
      </c>
      <c r="I48" s="7" t="n">
        <v>42769</v>
      </c>
      <c r="J48" s="7" t="n">
        <v>140000000</v>
      </c>
      <c r="K48" s="7" t="n">
        <v>1110000000</v>
      </c>
      <c r="L48" s="7" t="n">
        <v>602000000</v>
      </c>
      <c r="M48" s="3" t="n">
        <v>60013</v>
      </c>
      <c r="N48" s="3" t="n">
        <v>336862</v>
      </c>
      <c r="O48" s="3" t="n">
        <v>396875</v>
      </c>
      <c r="P48" s="3" t="n">
        <v>34331</v>
      </c>
      <c r="Q48" s="3" t="n">
        <v>171618</v>
      </c>
      <c r="R48" s="3" t="n">
        <v>205949</v>
      </c>
      <c r="S48" s="3" t="n">
        <v>46316</v>
      </c>
      <c r="T48" s="3" t="n">
        <v>182575</v>
      </c>
      <c r="U48" s="3" t="n">
        <v>228891</v>
      </c>
      <c r="V48" s="3" t="n">
        <v>66071</v>
      </c>
      <c r="W48" s="3" t="n">
        <v>157167</v>
      </c>
      <c r="X48" s="3" t="n">
        <v>223238</v>
      </c>
      <c r="Y48" s="3" t="n">
        <v>106329</v>
      </c>
      <c r="Z48" s="3" t="n">
        <v>519437</v>
      </c>
      <c r="AA48" s="3" t="n">
        <v>625766</v>
      </c>
      <c r="AB48" s="3" t="n">
        <v>100402</v>
      </c>
      <c r="AC48" s="3" t="n">
        <v>328785</v>
      </c>
      <c r="AD48" s="3" t="n">
        <v>429187</v>
      </c>
      <c r="AE48" s="3" t="n">
        <v>788</v>
      </c>
      <c r="AF48" s="3" t="n">
        <f aca="false">+AG48-AE48</f>
        <v>52060</v>
      </c>
      <c r="AG48" s="3" t="n">
        <v>52848</v>
      </c>
      <c r="AH48" s="3" t="n">
        <v>318</v>
      </c>
      <c r="AI48" s="3" t="n">
        <v>194</v>
      </c>
      <c r="AJ48" s="3" t="n">
        <f aca="false">+AK48-AH48-AI48</f>
        <v>15069</v>
      </c>
      <c r="AK48" s="3" t="n">
        <v>15581</v>
      </c>
      <c r="AL48" s="3" t="n">
        <f aca="false">AG48+AK48</f>
        <v>68429</v>
      </c>
      <c r="AM48" s="3" t="n">
        <v>138</v>
      </c>
      <c r="AN48" s="3" t="n">
        <v>180</v>
      </c>
      <c r="AO48" s="3" t="n">
        <v>118</v>
      </c>
      <c r="AP48" s="3" t="n">
        <v>670</v>
      </c>
      <c r="AQ48" s="7" t="n">
        <v>68.8</v>
      </c>
      <c r="AR48" s="7" t="n">
        <v>16.6</v>
      </c>
      <c r="AS48" s="7" t="n">
        <v>14.6</v>
      </c>
      <c r="AT48" s="7" t="n">
        <v>78.1</v>
      </c>
      <c r="AU48" s="7" t="n">
        <v>16.6</v>
      </c>
      <c r="AV48" s="7" t="n">
        <v>5.3</v>
      </c>
      <c r="AW48" s="18" t="n">
        <v>0</v>
      </c>
      <c r="AX48" s="18" t="n">
        <v>0</v>
      </c>
      <c r="AY48" s="18" t="n">
        <v>0</v>
      </c>
      <c r="AZ48" s="18" t="n">
        <v>1</v>
      </c>
      <c r="BA48" s="18" t="n">
        <v>0</v>
      </c>
      <c r="BB48" s="18" t="n">
        <v>0</v>
      </c>
      <c r="BC48" s="3" t="n">
        <v>7511</v>
      </c>
      <c r="BD48" s="3" t="n">
        <v>22259</v>
      </c>
      <c r="BE48" s="3" t="n">
        <v>29770</v>
      </c>
      <c r="BF48" s="3" t="n">
        <v>8174</v>
      </c>
      <c r="BG48" s="3" t="n">
        <v>2263</v>
      </c>
      <c r="BH48" s="3" t="n">
        <v>23240</v>
      </c>
      <c r="BI48" s="3" t="n">
        <v>33677</v>
      </c>
      <c r="BJ48" s="11" t="n">
        <v>649972</v>
      </c>
      <c r="BK48" s="11" t="n">
        <v>202473</v>
      </c>
      <c r="BL48" s="11" t="n">
        <v>8895</v>
      </c>
      <c r="BM48" s="11" t="n">
        <v>861340</v>
      </c>
      <c r="BN48" s="10" t="n">
        <v>468402</v>
      </c>
      <c r="BO48" s="11" t="n">
        <v>187345</v>
      </c>
      <c r="BP48" s="11" t="n">
        <v>30</v>
      </c>
      <c r="BQ48" s="11" t="n">
        <v>655777</v>
      </c>
      <c r="BR48" s="10" t="n">
        <v>143235</v>
      </c>
      <c r="BS48" s="11" t="n">
        <v>168008</v>
      </c>
      <c r="BT48" s="11" t="n">
        <v>99058</v>
      </c>
      <c r="BU48" s="11" t="n">
        <v>190483</v>
      </c>
      <c r="BV48" s="11" t="n">
        <v>2117901</v>
      </c>
      <c r="BW48" s="2" t="n">
        <v>29028</v>
      </c>
      <c r="BX48" s="2" t="n">
        <v>29528</v>
      </c>
      <c r="BY48" s="2" t="n">
        <v>25.33</v>
      </c>
      <c r="BZ48" s="2" t="n">
        <v>2.72</v>
      </c>
      <c r="CA48" s="2" t="n">
        <v>0.495</v>
      </c>
      <c r="CB48" s="2" t="n">
        <v>0.795</v>
      </c>
      <c r="CC48" s="2" t="n">
        <v>269.71</v>
      </c>
      <c r="CD48" s="2" t="n">
        <v>6286</v>
      </c>
      <c r="CE48" s="2" t="n">
        <v>42769</v>
      </c>
      <c r="CF48" s="2" t="n">
        <v>146.975613177769</v>
      </c>
      <c r="CG48" s="3" t="s">
        <v>96</v>
      </c>
    </row>
    <row r="49" customFormat="false" ht="14.65" hidden="false" customHeight="false" outlineLevel="0" collapsed="false">
      <c r="A49" s="7" t="s">
        <v>118</v>
      </c>
      <c r="B49" s="7" t="s">
        <v>166</v>
      </c>
      <c r="C49" s="7" t="s">
        <v>118</v>
      </c>
      <c r="D49" s="7" t="n">
        <v>1988</v>
      </c>
      <c r="E49" s="7" t="n">
        <v>12142.25</v>
      </c>
      <c r="F49" s="7" t="n">
        <v>71593</v>
      </c>
      <c r="G49" s="7" t="n">
        <v>41994.39</v>
      </c>
      <c r="H49" s="7" t="n">
        <v>72362.78</v>
      </c>
      <c r="I49" s="7" t="n">
        <v>71303</v>
      </c>
      <c r="J49" s="7" t="n">
        <v>30019000</v>
      </c>
      <c r="K49" s="7" t="n">
        <v>689000000</v>
      </c>
      <c r="L49" s="7" t="n">
        <v>348000000</v>
      </c>
      <c r="M49" s="3" t="n">
        <v>222494</v>
      </c>
      <c r="N49" s="3" t="n">
        <v>192792</v>
      </c>
      <c r="O49" s="3" t="n">
        <v>415286</v>
      </c>
      <c r="P49" s="3" t="n">
        <v>9553</v>
      </c>
      <c r="Q49" s="3" t="n">
        <v>21089</v>
      </c>
      <c r="R49" s="3" t="n">
        <v>30642</v>
      </c>
      <c r="S49" s="3" t="n">
        <v>26177</v>
      </c>
      <c r="T49" s="3" t="n">
        <v>234796</v>
      </c>
      <c r="U49" s="3" t="n">
        <v>260973</v>
      </c>
      <c r="V49" s="3" t="n">
        <v>7031</v>
      </c>
      <c r="W49" s="3" t="n">
        <v>26629</v>
      </c>
      <c r="X49" s="3" t="n">
        <v>33660</v>
      </c>
      <c r="Y49" s="3" t="n">
        <v>248671</v>
      </c>
      <c r="Z49" s="3" t="n">
        <v>427588</v>
      </c>
      <c r="AA49" s="3" t="n">
        <v>676259</v>
      </c>
      <c r="AB49" s="3" t="n">
        <v>16584</v>
      </c>
      <c r="AC49" s="3" t="n">
        <v>47718</v>
      </c>
      <c r="AD49" s="3" t="n">
        <v>64302</v>
      </c>
      <c r="AE49" s="3" t="n">
        <v>501</v>
      </c>
      <c r="AF49" s="3" t="n">
        <f aca="false">+AG49-AE49</f>
        <v>61709</v>
      </c>
      <c r="AG49" s="3" t="n">
        <v>62210</v>
      </c>
      <c r="AH49" s="3" t="n">
        <v>262</v>
      </c>
      <c r="AI49" s="3" t="n">
        <v>302</v>
      </c>
      <c r="AJ49" s="3" t="n">
        <f aca="false">+AK49-AH49-AI49</f>
        <v>16654</v>
      </c>
      <c r="AK49" s="3" t="n">
        <v>17218</v>
      </c>
      <c r="AL49" s="3" t="n">
        <f aca="false">AG49+AK49</f>
        <v>79428</v>
      </c>
      <c r="AM49" s="3" t="n">
        <v>158</v>
      </c>
      <c r="AN49" s="3" t="n">
        <v>104</v>
      </c>
      <c r="AO49" s="3" t="n">
        <v>96</v>
      </c>
      <c r="AP49" s="3" t="n">
        <v>405</v>
      </c>
      <c r="AQ49" s="7" t="n">
        <v>64.9</v>
      </c>
      <c r="AR49" s="7" t="n">
        <v>24.6</v>
      </c>
      <c r="AS49" s="7" t="n">
        <v>10.5</v>
      </c>
      <c r="AT49" s="7" t="n">
        <v>70</v>
      </c>
      <c r="AU49" s="7" t="n">
        <v>25.6</v>
      </c>
      <c r="AV49" s="7" t="n">
        <v>4.4</v>
      </c>
      <c r="AW49" s="18" t="n">
        <v>0</v>
      </c>
      <c r="AX49" s="18" t="n">
        <v>0</v>
      </c>
      <c r="AY49" s="18" t="n">
        <v>0</v>
      </c>
      <c r="AZ49" s="18" t="n">
        <v>0</v>
      </c>
      <c r="BA49" s="18" t="n">
        <v>0</v>
      </c>
      <c r="BB49" s="18" t="n">
        <v>0</v>
      </c>
      <c r="BC49" s="3" t="n">
        <v>3563</v>
      </c>
      <c r="BD49" s="3" t="n">
        <v>13129</v>
      </c>
      <c r="BE49" s="3" t="n">
        <v>16692</v>
      </c>
      <c r="BF49" s="3" t="n">
        <v>8350</v>
      </c>
      <c r="BG49" s="3" t="n">
        <v>3841</v>
      </c>
      <c r="BH49" s="3" t="n">
        <v>20503</v>
      </c>
      <c r="BI49" s="3" t="n">
        <v>32694</v>
      </c>
      <c r="BJ49" s="11" t="n">
        <v>501683</v>
      </c>
      <c r="BK49" s="11" t="n">
        <v>332102</v>
      </c>
      <c r="BL49" s="11" t="n">
        <v>3923</v>
      </c>
      <c r="BM49" s="11" t="n">
        <v>837708</v>
      </c>
      <c r="BN49" s="10" t="n">
        <v>193795</v>
      </c>
      <c r="BO49" s="11" t="n">
        <v>267382</v>
      </c>
      <c r="BP49" s="11" t="n">
        <v>2431</v>
      </c>
      <c r="BQ49" s="11" t="n">
        <v>463608</v>
      </c>
      <c r="BR49" s="10" t="n">
        <v>239299</v>
      </c>
      <c r="BS49" s="11" t="n">
        <v>173064</v>
      </c>
      <c r="BT49" s="11" t="n">
        <v>72751</v>
      </c>
      <c r="BU49" s="11" t="n">
        <v>95899</v>
      </c>
      <c r="BV49" s="11" t="n">
        <v>1882329</v>
      </c>
      <c r="BW49" s="2" t="n">
        <v>29721</v>
      </c>
      <c r="BX49" s="2" t="n">
        <v>30132</v>
      </c>
      <c r="BY49" s="2" t="n">
        <v>28.29</v>
      </c>
      <c r="BZ49" s="2" t="n">
        <v>2.37</v>
      </c>
      <c r="CA49" s="2" t="n">
        <v>0.524</v>
      </c>
      <c r="CB49" s="2" t="n">
        <v>0.976</v>
      </c>
      <c r="CC49" s="2" t="n">
        <v>306.82</v>
      </c>
      <c r="CD49" s="2" t="n">
        <v>5018</v>
      </c>
      <c r="CE49" s="2" t="n">
        <v>71303</v>
      </c>
      <c r="CF49" s="2" t="n">
        <v>70.3757205166683</v>
      </c>
      <c r="CG49" s="3" t="s">
        <v>91</v>
      </c>
    </row>
    <row r="50" customFormat="false" ht="14.65" hidden="false" customHeight="false" outlineLevel="0" collapsed="false">
      <c r="A50" s="7" t="s">
        <v>118</v>
      </c>
      <c r="B50" s="7" t="s">
        <v>167</v>
      </c>
      <c r="C50" s="7" t="s">
        <v>118</v>
      </c>
      <c r="D50" s="7" t="n">
        <v>1988</v>
      </c>
      <c r="E50" s="7" t="n">
        <v>7562.87</v>
      </c>
      <c r="F50" s="7" t="n">
        <v>23738</v>
      </c>
      <c r="G50" s="7" t="n">
        <v>10902.86</v>
      </c>
      <c r="H50" s="7" t="n">
        <v>37422.09</v>
      </c>
      <c r="I50" s="7" t="n">
        <v>24231</v>
      </c>
      <c r="J50" s="7" t="n">
        <v>9978000</v>
      </c>
      <c r="K50" s="7" t="n">
        <v>258000000</v>
      </c>
      <c r="L50" s="7" t="n">
        <v>193000000</v>
      </c>
      <c r="M50" s="3" t="n">
        <v>18925</v>
      </c>
      <c r="N50" s="3" t="n">
        <v>120989</v>
      </c>
      <c r="O50" s="3" t="n">
        <v>139914</v>
      </c>
      <c r="P50" s="3" t="n">
        <v>5204</v>
      </c>
      <c r="Q50" s="3" t="n">
        <v>59219</v>
      </c>
      <c r="R50" s="3" t="n">
        <v>64423</v>
      </c>
      <c r="S50" s="3" t="n">
        <v>37245</v>
      </c>
      <c r="T50" s="3" t="n">
        <v>290280</v>
      </c>
      <c r="U50" s="3" t="n">
        <v>327525</v>
      </c>
      <c r="V50" s="3" t="n">
        <v>15215</v>
      </c>
      <c r="W50" s="3" t="n">
        <v>65377</v>
      </c>
      <c r="X50" s="3" t="n">
        <v>80592</v>
      </c>
      <c r="Y50" s="3" t="n">
        <v>56170</v>
      </c>
      <c r="Z50" s="3" t="n">
        <v>411269</v>
      </c>
      <c r="AA50" s="3" t="n">
        <v>467439</v>
      </c>
      <c r="AB50" s="3" t="n">
        <v>20419</v>
      </c>
      <c r="AC50" s="3" t="n">
        <v>124596</v>
      </c>
      <c r="AD50" s="3" t="n">
        <v>145015</v>
      </c>
      <c r="AE50" s="3" t="n">
        <v>456</v>
      </c>
      <c r="AF50" s="3" t="n">
        <f aca="false">+AG50-AE50</f>
        <v>31452</v>
      </c>
      <c r="AG50" s="3" t="n">
        <v>31908</v>
      </c>
      <c r="AH50" s="3" t="n">
        <v>94</v>
      </c>
      <c r="AI50" s="3" t="n">
        <v>9</v>
      </c>
      <c r="AJ50" s="3" t="n">
        <f aca="false">+AK50-AH50-AI50</f>
        <v>3034</v>
      </c>
      <c r="AK50" s="3" t="n">
        <v>3137</v>
      </c>
      <c r="AL50" s="3" t="n">
        <f aca="false">AG50+AK50</f>
        <v>35045</v>
      </c>
      <c r="AM50" s="3" t="n">
        <v>9</v>
      </c>
      <c r="AN50" s="3" t="n">
        <v>85</v>
      </c>
      <c r="AO50" s="3" t="n">
        <v>23</v>
      </c>
      <c r="AP50" s="3" t="n">
        <v>433</v>
      </c>
      <c r="AQ50" s="7" t="n">
        <v>70.1</v>
      </c>
      <c r="AR50" s="7" t="n">
        <v>12.9</v>
      </c>
      <c r="AS50" s="7" t="n">
        <v>17</v>
      </c>
      <c r="AT50" s="7" t="n">
        <v>72.9</v>
      </c>
      <c r="AU50" s="7" t="n">
        <v>15</v>
      </c>
      <c r="AV50" s="7" t="n">
        <v>12.1</v>
      </c>
      <c r="AW50" s="18" t="n">
        <v>0</v>
      </c>
      <c r="AX50" s="18" t="n">
        <v>0</v>
      </c>
      <c r="AY50" s="18" t="n">
        <v>0</v>
      </c>
      <c r="AZ50" s="18" t="n">
        <v>1</v>
      </c>
      <c r="BA50" s="18" t="n">
        <v>0</v>
      </c>
      <c r="BB50" s="18" t="n">
        <v>0</v>
      </c>
      <c r="BC50" s="3" t="n">
        <v>2979</v>
      </c>
      <c r="BD50" s="3" t="n">
        <v>8853</v>
      </c>
      <c r="BE50" s="3" t="n">
        <v>11832</v>
      </c>
      <c r="BF50" s="3" t="n">
        <v>1169</v>
      </c>
      <c r="BG50" s="3" t="n">
        <v>414</v>
      </c>
      <c r="BH50" s="3" t="n">
        <v>3063</v>
      </c>
      <c r="BI50" s="3" t="n">
        <v>4646</v>
      </c>
      <c r="BJ50" s="13" t="n">
        <v>356770</v>
      </c>
      <c r="BK50" s="13" t="n">
        <v>13858</v>
      </c>
      <c r="BL50" s="13" t="n">
        <v>134</v>
      </c>
      <c r="BM50" s="13" t="n">
        <v>370762</v>
      </c>
      <c r="BN50" s="12" t="n">
        <v>161301</v>
      </c>
      <c r="BO50" s="13" t="n">
        <v>48540</v>
      </c>
      <c r="BP50" s="13" t="n">
        <v>41</v>
      </c>
      <c r="BQ50" s="13" t="n">
        <v>209882</v>
      </c>
      <c r="BR50" s="12" t="n">
        <v>31528</v>
      </c>
      <c r="BS50" s="13" t="n">
        <v>38247</v>
      </c>
      <c r="BT50" s="13" t="n">
        <v>29209</v>
      </c>
      <c r="BU50" s="13" t="n">
        <v>41355</v>
      </c>
      <c r="BV50" s="13" t="n">
        <v>720983</v>
      </c>
      <c r="BW50" s="2" t="n">
        <v>23614</v>
      </c>
      <c r="BX50" s="2" t="n">
        <v>23939</v>
      </c>
      <c r="BY50" s="2" t="n">
        <v>26.51</v>
      </c>
      <c r="BZ50" s="2" t="n">
        <v>3.04</v>
      </c>
      <c r="CA50" s="2" t="n">
        <v>0.535</v>
      </c>
      <c r="CB50" s="2" t="n">
        <v>0.961</v>
      </c>
      <c r="CC50" s="2" t="n">
        <v>305.65</v>
      </c>
      <c r="CD50" s="2" t="n">
        <v>1801</v>
      </c>
      <c r="CE50" s="2" t="n">
        <v>24231</v>
      </c>
      <c r="CF50" s="2" t="n">
        <v>74.3262762576864</v>
      </c>
      <c r="CG50" s="3" t="s">
        <v>94</v>
      </c>
    </row>
    <row r="51" customFormat="false" ht="14.65" hidden="false" customHeight="false" outlineLevel="0" collapsed="false">
      <c r="A51" s="7" t="s">
        <v>118</v>
      </c>
      <c r="B51" s="7" t="s">
        <v>168</v>
      </c>
      <c r="C51" s="7" t="s">
        <v>118</v>
      </c>
      <c r="D51" s="7" t="n">
        <v>1988</v>
      </c>
      <c r="E51" s="7" t="n">
        <v>10981.49</v>
      </c>
      <c r="F51" s="7" t="n">
        <v>75299</v>
      </c>
      <c r="G51" s="7" t="n">
        <v>26585.22</v>
      </c>
      <c r="H51" s="7" t="n">
        <v>65617.75</v>
      </c>
      <c r="I51" s="7" t="n">
        <v>65503</v>
      </c>
      <c r="J51" s="7" t="n">
        <v>2703000</v>
      </c>
      <c r="K51" s="7" t="n">
        <v>611000000</v>
      </c>
      <c r="L51" s="7" t="n">
        <v>470000000</v>
      </c>
      <c r="M51" s="3" t="n">
        <v>26875</v>
      </c>
      <c r="N51" s="3" t="n">
        <v>205270</v>
      </c>
      <c r="O51" s="3" t="n">
        <v>232145</v>
      </c>
      <c r="P51" s="3" t="n">
        <v>1390</v>
      </c>
      <c r="Q51" s="3" t="n">
        <v>9528</v>
      </c>
      <c r="R51" s="3" t="n">
        <v>10918</v>
      </c>
      <c r="S51" s="3" t="n">
        <v>36422</v>
      </c>
      <c r="T51" s="3" t="n">
        <v>381434</v>
      </c>
      <c r="U51" s="3" t="n">
        <v>417856</v>
      </c>
      <c r="V51" s="3" t="n">
        <v>4988</v>
      </c>
      <c r="W51" s="3" t="n">
        <v>57700</v>
      </c>
      <c r="X51" s="3" t="n">
        <v>62688</v>
      </c>
      <c r="Y51" s="3" t="n">
        <v>63297</v>
      </c>
      <c r="Z51" s="3" t="n">
        <v>586704</v>
      </c>
      <c r="AA51" s="3" t="n">
        <v>650001</v>
      </c>
      <c r="AB51" s="3" t="n">
        <v>6378</v>
      </c>
      <c r="AC51" s="3" t="n">
        <v>67228</v>
      </c>
      <c r="AD51" s="3" t="n">
        <v>73606</v>
      </c>
      <c r="AE51" s="3" t="n">
        <v>495</v>
      </c>
      <c r="AF51" s="3" t="n">
        <f aca="false">+AG51-AE51</f>
        <v>94892</v>
      </c>
      <c r="AG51" s="3" t="n">
        <v>95387</v>
      </c>
      <c r="AH51" s="3" t="n">
        <v>143</v>
      </c>
      <c r="AI51" s="3" t="n">
        <v>178</v>
      </c>
      <c r="AJ51" s="3" t="n">
        <f aca="false">+AK51-AH51-AI51</f>
        <v>15270</v>
      </c>
      <c r="AK51" s="3" t="n">
        <v>15591</v>
      </c>
      <c r="AL51" s="3" t="n">
        <f aca="false">AG51+AK51</f>
        <v>110978</v>
      </c>
      <c r="AM51" s="3" t="n">
        <v>56</v>
      </c>
      <c r="AN51" s="3" t="n">
        <v>87</v>
      </c>
      <c r="AO51" s="3" t="n">
        <v>50</v>
      </c>
      <c r="AP51" s="3" t="n">
        <v>445</v>
      </c>
      <c r="AQ51" s="7" t="n">
        <v>77</v>
      </c>
      <c r="AR51" s="7" t="n">
        <v>9.7</v>
      </c>
      <c r="AS51" s="7" t="n">
        <v>13.3</v>
      </c>
      <c r="AT51" s="7" t="n">
        <v>76.5</v>
      </c>
      <c r="AU51" s="7" t="n">
        <v>14.2</v>
      </c>
      <c r="AV51" s="7" t="n">
        <v>9.3</v>
      </c>
      <c r="AW51" s="18" t="n">
        <v>0</v>
      </c>
      <c r="AX51" s="18" t="n">
        <v>0</v>
      </c>
      <c r="AY51" s="18" t="n">
        <v>0</v>
      </c>
      <c r="AZ51" s="18" t="n">
        <v>0</v>
      </c>
      <c r="BA51" s="18" t="n">
        <v>1</v>
      </c>
      <c r="BB51" s="18" t="n">
        <v>0</v>
      </c>
      <c r="BC51" s="3" t="n">
        <v>4236</v>
      </c>
      <c r="BD51" s="3" t="n">
        <v>20781</v>
      </c>
      <c r="BE51" s="3" t="n">
        <v>25017</v>
      </c>
      <c r="BF51" s="3" t="n">
        <v>2988</v>
      </c>
      <c r="BG51" s="3" t="n">
        <v>2216</v>
      </c>
      <c r="BH51" s="3" t="n">
        <v>17407</v>
      </c>
      <c r="BI51" s="3" t="n">
        <v>22611</v>
      </c>
      <c r="BJ51" s="11" t="n">
        <v>626822</v>
      </c>
      <c r="BK51" s="11" t="n">
        <v>384652</v>
      </c>
      <c r="BL51" s="11" t="n">
        <v>1</v>
      </c>
      <c r="BM51" s="11" t="n">
        <v>1011475</v>
      </c>
      <c r="BN51" s="10" t="n">
        <v>116788</v>
      </c>
      <c r="BO51" s="11" t="n">
        <v>423045</v>
      </c>
      <c r="BP51" s="11" t="n">
        <v>1569</v>
      </c>
      <c r="BQ51" s="11" t="n">
        <v>541402</v>
      </c>
      <c r="BR51" s="10" t="n">
        <v>128447</v>
      </c>
      <c r="BS51" s="11" t="n">
        <v>261228</v>
      </c>
      <c r="BT51" s="11" t="n">
        <v>72021</v>
      </c>
      <c r="BU51" s="11" t="n">
        <v>135877</v>
      </c>
      <c r="BV51" s="11" t="n">
        <v>2150450</v>
      </c>
      <c r="BW51" s="2" t="n">
        <v>27228</v>
      </c>
      <c r="BX51" s="2" t="n">
        <v>27826</v>
      </c>
      <c r="BY51" s="2" t="n">
        <v>2.08</v>
      </c>
      <c r="BZ51" s="2" t="n">
        <v>1.65</v>
      </c>
      <c r="CA51" s="2" t="n">
        <v>0.44</v>
      </c>
      <c r="CB51" s="2" t="n">
        <v>1.083</v>
      </c>
      <c r="CC51" s="2" t="n">
        <v>171.78</v>
      </c>
      <c r="CD51" s="2" t="n">
        <v>4955</v>
      </c>
      <c r="CE51" s="2" t="n">
        <v>65503</v>
      </c>
      <c r="CF51" s="2" t="n">
        <v>75.6453902874678</v>
      </c>
      <c r="CG51" s="3" t="s">
        <v>91</v>
      </c>
    </row>
    <row r="52" customFormat="false" ht="14.65" hidden="false" customHeight="false" outlineLevel="0" collapsed="false">
      <c r="A52" s="7" t="s">
        <v>118</v>
      </c>
      <c r="B52" s="7" t="s">
        <v>169</v>
      </c>
      <c r="C52" s="7" t="s">
        <v>118</v>
      </c>
      <c r="D52" s="7" t="n">
        <v>1988</v>
      </c>
      <c r="E52" s="7" t="n">
        <v>3571.6</v>
      </c>
      <c r="F52" s="7" t="n">
        <v>10511</v>
      </c>
      <c r="G52" s="7" t="n">
        <v>6117.12</v>
      </c>
      <c r="H52" s="7" t="n">
        <v>24963.6</v>
      </c>
      <c r="I52" s="7" t="n">
        <v>97818</v>
      </c>
      <c r="J52" s="7" t="n">
        <v>2105000</v>
      </c>
      <c r="K52" s="7" t="n">
        <v>183000000</v>
      </c>
      <c r="L52" s="7" t="n">
        <v>81656000</v>
      </c>
      <c r="M52" s="3" t="n">
        <v>2778</v>
      </c>
      <c r="N52" s="3" t="n">
        <v>22867</v>
      </c>
      <c r="O52" s="3" t="n">
        <v>25645</v>
      </c>
      <c r="P52" s="3" t="n">
        <v>791</v>
      </c>
      <c r="Q52" s="3" t="n">
        <v>1731</v>
      </c>
      <c r="R52" s="3" t="n">
        <v>2522</v>
      </c>
      <c r="S52" s="3" t="n">
        <v>39675</v>
      </c>
      <c r="T52" s="3" t="n">
        <v>93466</v>
      </c>
      <c r="U52" s="3" t="n">
        <v>133141</v>
      </c>
      <c r="V52" s="3" t="n">
        <v>5815</v>
      </c>
      <c r="W52" s="3" t="n">
        <v>21789</v>
      </c>
      <c r="X52" s="3" t="n">
        <v>27604</v>
      </c>
      <c r="Y52" s="3" t="n">
        <v>42453</v>
      </c>
      <c r="Z52" s="3" t="n">
        <v>116333</v>
      </c>
      <c r="AA52" s="3" t="n">
        <v>158786</v>
      </c>
      <c r="AB52" s="3" t="n">
        <v>6606</v>
      </c>
      <c r="AC52" s="3" t="n">
        <v>23520</v>
      </c>
      <c r="AD52" s="3" t="n">
        <v>30126</v>
      </c>
      <c r="AE52" s="3" t="n">
        <v>827</v>
      </c>
      <c r="AF52" s="3" t="n">
        <f aca="false">+AG52-AE52</f>
        <v>34429</v>
      </c>
      <c r="AG52" s="3" t="n">
        <v>35256</v>
      </c>
      <c r="AH52" s="3" t="n">
        <v>87</v>
      </c>
      <c r="AI52" s="3" t="n">
        <v>3</v>
      </c>
      <c r="AJ52" s="3" t="n">
        <f aca="false">+AK52-AH52-AI52</f>
        <v>2296</v>
      </c>
      <c r="AK52" s="3" t="n">
        <v>2386</v>
      </c>
      <c r="AL52" s="3" t="n">
        <f aca="false">AG52+AK52</f>
        <v>37642</v>
      </c>
      <c r="AM52" s="3" t="n">
        <v>0</v>
      </c>
      <c r="AN52" s="3" t="n">
        <v>87</v>
      </c>
      <c r="AO52" s="3" t="n">
        <v>0</v>
      </c>
      <c r="AP52" s="3" t="n">
        <v>827</v>
      </c>
      <c r="AQ52" s="7" t="n">
        <v>41.2</v>
      </c>
      <c r="AR52" s="7" t="n">
        <v>24.4</v>
      </c>
      <c r="AS52" s="7" t="n">
        <v>34.4</v>
      </c>
      <c r="AT52" s="7" t="n">
        <v>55.1</v>
      </c>
      <c r="AU52" s="7" t="n">
        <v>34.7</v>
      </c>
      <c r="AV52" s="7" t="n">
        <v>10.2</v>
      </c>
      <c r="AW52" s="18" t="n">
        <v>0</v>
      </c>
      <c r="AX52" s="18" t="n">
        <v>0</v>
      </c>
      <c r="AY52" s="18" t="n">
        <v>0</v>
      </c>
      <c r="AZ52" s="18" t="n">
        <v>0</v>
      </c>
      <c r="BA52" s="18" t="n">
        <v>0</v>
      </c>
      <c r="BB52" s="18" t="n">
        <v>0</v>
      </c>
      <c r="BC52" s="3" t="n">
        <v>1746</v>
      </c>
      <c r="BD52" s="3" t="n">
        <v>2858</v>
      </c>
      <c r="BE52" s="3" t="n">
        <v>4604</v>
      </c>
      <c r="BF52" s="3" t="n">
        <v>261</v>
      </c>
      <c r="BG52" s="3" t="n">
        <v>8</v>
      </c>
      <c r="BH52" s="3" t="n">
        <v>1344</v>
      </c>
      <c r="BI52" s="3" t="n">
        <v>1613</v>
      </c>
      <c r="BJ52" s="11" t="n">
        <v>127015</v>
      </c>
      <c r="BK52" s="11" t="n">
        <v>34114</v>
      </c>
      <c r="BL52" s="11" t="n">
        <v>12506</v>
      </c>
      <c r="BM52" s="11" t="n">
        <v>173635</v>
      </c>
      <c r="BN52" s="10" t="n">
        <v>52018</v>
      </c>
      <c r="BO52" s="11" t="n">
        <v>34989</v>
      </c>
      <c r="BP52" s="11" t="n">
        <v>900</v>
      </c>
      <c r="BQ52" s="11" t="n">
        <v>87907</v>
      </c>
      <c r="BR52" s="10" t="n">
        <v>24522</v>
      </c>
      <c r="BS52" s="11" t="n">
        <v>23896</v>
      </c>
      <c r="BT52" s="11" t="n">
        <v>187</v>
      </c>
      <c r="BU52" s="11" t="n">
        <v>1159</v>
      </c>
      <c r="BV52" s="11" t="n">
        <v>311306</v>
      </c>
      <c r="BW52" s="2" t="n">
        <v>23275</v>
      </c>
      <c r="BX52" s="2" t="n">
        <v>23522</v>
      </c>
      <c r="BY52" s="2" t="n">
        <v>18.08</v>
      </c>
      <c r="BZ52" s="2" t="n">
        <v>1.26</v>
      </c>
      <c r="CA52" s="2" t="n">
        <v>0.555</v>
      </c>
      <c r="CB52" s="2" t="n">
        <v>0.555</v>
      </c>
      <c r="CC52" s="2" t="n">
        <v>268</v>
      </c>
      <c r="CD52" s="2" t="n">
        <v>460</v>
      </c>
      <c r="CE52" s="2" t="n">
        <v>97818</v>
      </c>
      <c r="CF52" s="2" t="n">
        <v>4.70261097139586</v>
      </c>
      <c r="CG52" s="3" t="s">
        <v>93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:G58 B6:G58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B1" s="3" t="s">
        <v>231</v>
      </c>
    </row>
    <row r="2" customFormat="false" ht="14.65" hidden="false" customHeight="false" outlineLevel="0" collapsed="false">
      <c r="C2" s="3" t="s">
        <v>232</v>
      </c>
    </row>
    <row r="3" customFormat="false" ht="14.65" hidden="false" customHeight="false" outlineLevel="0" collapsed="false">
      <c r="A3" s="19" t="s">
        <v>108</v>
      </c>
      <c r="B3" s="3" t="s">
        <v>233</v>
      </c>
      <c r="E3" s="3" t="s">
        <v>234</v>
      </c>
    </row>
    <row r="4" customFormat="false" ht="14.65" hidden="false" customHeight="false" outlineLevel="0" collapsed="false">
      <c r="A4" s="1"/>
      <c r="B4" s="3" t="s">
        <v>235</v>
      </c>
      <c r="C4" s="3" t="s">
        <v>235</v>
      </c>
      <c r="D4" s="3" t="s">
        <v>235</v>
      </c>
      <c r="E4" s="3" t="s">
        <v>235</v>
      </c>
      <c r="F4" s="3" t="s">
        <v>235</v>
      </c>
      <c r="G4" s="3" t="s">
        <v>235</v>
      </c>
    </row>
    <row r="5" customFormat="false" ht="14.65" hidden="false" customHeight="false" outlineLevel="0" collapsed="false">
      <c r="A5" s="17"/>
      <c r="B5" s="3" t="s">
        <v>236</v>
      </c>
      <c r="C5" s="3" t="s">
        <v>237</v>
      </c>
      <c r="D5" s="3" t="s">
        <v>238</v>
      </c>
      <c r="E5" s="3" t="s">
        <v>236</v>
      </c>
      <c r="F5" s="3" t="s">
        <v>237</v>
      </c>
      <c r="G5" s="3" t="s">
        <v>238</v>
      </c>
    </row>
    <row r="6" customFormat="false" ht="14.65" hidden="false" customHeight="false" outlineLevel="0" collapsed="false">
      <c r="A6" s="1"/>
      <c r="B6" s="3" t="s">
        <v>170</v>
      </c>
      <c r="C6" s="3" t="s">
        <v>171</v>
      </c>
      <c r="D6" s="3" t="s">
        <v>172</v>
      </c>
      <c r="E6" s="3" t="s">
        <v>173</v>
      </c>
      <c r="F6" s="3" t="s">
        <v>174</v>
      </c>
      <c r="G6" s="3" t="s">
        <v>175</v>
      </c>
    </row>
    <row r="7" customFormat="false" ht="14.65" hidden="false" customHeight="false" outlineLevel="0" collapsed="false">
      <c r="A7" s="4" t="s">
        <v>8</v>
      </c>
      <c r="B7" s="3" t="n">
        <v>125348</v>
      </c>
      <c r="C7" s="3" t="n">
        <v>77005</v>
      </c>
      <c r="D7" s="3" t="n">
        <v>202353</v>
      </c>
      <c r="E7" s="3" t="n">
        <v>7008</v>
      </c>
      <c r="F7" s="3" t="n">
        <v>87510</v>
      </c>
      <c r="G7" s="3" t="n">
        <v>94518</v>
      </c>
    </row>
    <row r="8" customFormat="false" ht="14.65" hidden="false" customHeight="false" outlineLevel="0" collapsed="false">
      <c r="A8" s="4" t="s">
        <v>9</v>
      </c>
      <c r="B8" s="3" t="n">
        <v>35459</v>
      </c>
      <c r="C8" s="3" t="n">
        <v>71217</v>
      </c>
      <c r="D8" s="3" t="n">
        <v>106676</v>
      </c>
      <c r="E8" s="3" t="n">
        <v>1369</v>
      </c>
      <c r="F8" s="3" t="n">
        <v>19907</v>
      </c>
      <c r="G8" s="3" t="n">
        <v>21276</v>
      </c>
    </row>
    <row r="9" customFormat="false" ht="14.65" hidden="false" customHeight="false" outlineLevel="0" collapsed="false">
      <c r="A9" s="4" t="s">
        <v>10</v>
      </c>
      <c r="B9" s="3" t="n">
        <v>48078</v>
      </c>
      <c r="C9" s="3" t="n">
        <v>229257</v>
      </c>
      <c r="D9" s="3" t="n">
        <v>277335</v>
      </c>
      <c r="E9" s="3" t="e">
        <f aca="false">#REF!</f>
        <v>#VALUE!</v>
      </c>
      <c r="F9" s="3" t="e">
        <f aca="false">#REF!</f>
        <v>#VALUE!</v>
      </c>
      <c r="G9" s="3" t="e">
        <f aca="false">#REF!</f>
        <v>#VALUE!</v>
      </c>
    </row>
    <row r="10" customFormat="false" ht="14.65" hidden="false" customHeight="false" outlineLevel="0" collapsed="false">
      <c r="A10" s="4" t="s">
        <v>11</v>
      </c>
      <c r="B10" s="3" t="n">
        <v>6623</v>
      </c>
      <c r="C10" s="3" t="n">
        <v>132474</v>
      </c>
      <c r="D10" s="3" t="n">
        <v>139097</v>
      </c>
      <c r="E10" s="3" t="n">
        <v>1387</v>
      </c>
      <c r="F10" s="3" t="n">
        <v>24221</v>
      </c>
      <c r="G10" s="3" t="n">
        <v>25608</v>
      </c>
    </row>
    <row r="11" customFormat="false" ht="14.65" hidden="false" customHeight="false" outlineLevel="0" collapsed="false">
      <c r="A11" s="5" t="s">
        <v>12</v>
      </c>
      <c r="B11" s="3" t="n">
        <v>513828</v>
      </c>
      <c r="C11" s="3" t="n">
        <v>881208</v>
      </c>
      <c r="D11" s="3" t="n">
        <v>1395036</v>
      </c>
      <c r="E11" s="3" t="n">
        <v>51921</v>
      </c>
      <c r="F11" s="3" t="n">
        <v>80647</v>
      </c>
      <c r="G11" s="3" t="n">
        <v>132568</v>
      </c>
    </row>
    <row r="12" customFormat="false" ht="14.65" hidden="false" customHeight="false" outlineLevel="0" collapsed="false">
      <c r="A12" s="4" t="s">
        <v>13</v>
      </c>
      <c r="B12" s="3" t="n">
        <v>92615</v>
      </c>
      <c r="C12" s="3" t="n">
        <v>88050</v>
      </c>
      <c r="D12" s="3" t="n">
        <v>180665</v>
      </c>
      <c r="E12" s="3" t="n">
        <v>7308</v>
      </c>
      <c r="F12" s="3" t="n">
        <v>36948</v>
      </c>
      <c r="G12" s="3" t="n">
        <v>44256</v>
      </c>
    </row>
    <row r="13" customFormat="false" ht="14.65" hidden="false" customHeight="false" outlineLevel="0" collapsed="false">
      <c r="A13" s="4" t="s">
        <v>14</v>
      </c>
      <c r="B13" s="3" t="n">
        <v>183530</v>
      </c>
      <c r="C13" s="3" t="n">
        <v>329367</v>
      </c>
      <c r="D13" s="3" t="n">
        <v>512897</v>
      </c>
      <c r="E13" s="3" t="n">
        <v>3246</v>
      </c>
      <c r="F13" s="3" t="n">
        <v>26674</v>
      </c>
      <c r="G13" s="3" t="n">
        <v>29920</v>
      </c>
    </row>
    <row r="14" customFormat="false" ht="14.65" hidden="false" customHeight="false" outlineLevel="0" collapsed="false">
      <c r="A14" s="4" t="s">
        <v>15</v>
      </c>
      <c r="B14" s="3" t="n">
        <v>22297</v>
      </c>
      <c r="C14" s="3" t="n">
        <v>87042</v>
      </c>
      <c r="D14" s="3" t="n">
        <v>109339</v>
      </c>
      <c r="E14" s="3" t="n">
        <v>3083</v>
      </c>
      <c r="F14" s="3" t="n">
        <v>25363</v>
      </c>
      <c r="G14" s="3" t="n">
        <v>28446</v>
      </c>
    </row>
    <row r="15" customFormat="false" ht="14.65" hidden="false" customHeight="false" outlineLevel="0" collapsed="false">
      <c r="A15" s="5" t="s">
        <v>16</v>
      </c>
      <c r="B15" s="3" t="n">
        <v>21573</v>
      </c>
      <c r="C15" s="3" t="n">
        <v>86621</v>
      </c>
      <c r="D15" s="3" t="n">
        <v>108194</v>
      </c>
      <c r="E15" s="3" t="n">
        <v>1848</v>
      </c>
      <c r="F15" s="3" t="n">
        <v>26106</v>
      </c>
      <c r="G15" s="3" t="n">
        <v>27954</v>
      </c>
    </row>
    <row r="16" customFormat="false" ht="14.65" hidden="false" customHeight="false" outlineLevel="0" collapsed="false">
      <c r="A16" s="4" t="s">
        <v>17</v>
      </c>
      <c r="B16" s="3" t="n">
        <v>225241</v>
      </c>
      <c r="C16" s="3" t="n">
        <v>864268</v>
      </c>
      <c r="D16" s="3" t="n">
        <v>1089509</v>
      </c>
      <c r="E16" s="3" t="n">
        <v>3581</v>
      </c>
      <c r="F16" s="3" t="n">
        <v>111397</v>
      </c>
      <c r="G16" s="3" t="n">
        <v>114978</v>
      </c>
    </row>
    <row r="17" customFormat="false" ht="14.65" hidden="false" customHeight="false" outlineLevel="0" collapsed="false">
      <c r="A17" s="4" t="s">
        <v>18</v>
      </c>
      <c r="B17" s="3" t="n">
        <v>169131</v>
      </c>
      <c r="C17" s="3" t="n">
        <v>255256</v>
      </c>
      <c r="D17" s="3" t="n">
        <v>424387</v>
      </c>
      <c r="E17" s="3" t="n">
        <v>6644</v>
      </c>
      <c r="F17" s="3" t="n">
        <v>44293</v>
      </c>
      <c r="G17" s="3" t="n">
        <v>50937</v>
      </c>
    </row>
    <row r="18" customFormat="false" ht="14.65" hidden="false" customHeight="false" outlineLevel="0" collapsed="false">
      <c r="A18" s="4" t="s">
        <v>19</v>
      </c>
      <c r="B18" s="3" t="n">
        <v>191402</v>
      </c>
      <c r="C18" s="3" t="n">
        <v>39912</v>
      </c>
      <c r="D18" s="3" t="n">
        <v>231314</v>
      </c>
      <c r="E18" s="3" t="n">
        <v>1960</v>
      </c>
      <c r="F18" s="3" t="n">
        <v>4246</v>
      </c>
      <c r="G18" s="3" t="n">
        <v>6206</v>
      </c>
    </row>
    <row r="19" customFormat="false" ht="14.65" hidden="false" customHeight="false" outlineLevel="0" collapsed="false">
      <c r="A19" s="5" t="s">
        <v>21</v>
      </c>
      <c r="B19" s="3" t="n">
        <v>762</v>
      </c>
      <c r="C19" s="3" t="n">
        <v>7891</v>
      </c>
      <c r="D19" s="3" t="n">
        <v>8653</v>
      </c>
      <c r="E19" s="3" t="n">
        <v>346</v>
      </c>
      <c r="F19" s="3" t="n">
        <v>824</v>
      </c>
      <c r="G19" s="3" t="n">
        <v>1170</v>
      </c>
    </row>
    <row r="20" customFormat="false" ht="14.65" hidden="false" customHeight="false" outlineLevel="0" collapsed="false">
      <c r="A20" s="4" t="s">
        <v>22</v>
      </c>
      <c r="B20" s="3" t="n">
        <v>365359</v>
      </c>
      <c r="C20" s="3" t="n">
        <v>334974</v>
      </c>
      <c r="D20" s="3" t="n">
        <v>700333</v>
      </c>
      <c r="E20" s="3" t="n">
        <v>36813</v>
      </c>
      <c r="F20" s="3" t="n">
        <v>124266</v>
      </c>
      <c r="G20" s="3" t="n">
        <v>161079</v>
      </c>
    </row>
    <row r="21" customFormat="false" ht="14.65" hidden="false" customHeight="false" outlineLevel="0" collapsed="false">
      <c r="A21" s="4" t="s">
        <v>23</v>
      </c>
      <c r="B21" s="3" t="n">
        <v>92677</v>
      </c>
      <c r="C21" s="3" t="n">
        <v>234936</v>
      </c>
      <c r="D21" s="3" t="n">
        <v>327613</v>
      </c>
      <c r="E21" s="3" t="n">
        <v>8989</v>
      </c>
      <c r="F21" s="3" t="n">
        <v>26980</v>
      </c>
      <c r="G21" s="3" t="n">
        <v>35969</v>
      </c>
    </row>
    <row r="22" customFormat="false" ht="14.65" hidden="false" customHeight="false" outlineLevel="0" collapsed="false">
      <c r="A22" s="4" t="s">
        <v>24</v>
      </c>
      <c r="B22" s="3" t="n">
        <v>43819</v>
      </c>
      <c r="C22" s="3" t="n">
        <v>76501</v>
      </c>
      <c r="D22" s="3" t="n">
        <v>120320</v>
      </c>
      <c r="E22" s="3" t="n">
        <v>3325</v>
      </c>
      <c r="F22" s="3" t="n">
        <v>5805</v>
      </c>
      <c r="G22" s="3" t="n">
        <v>9130</v>
      </c>
    </row>
    <row r="23" customFormat="false" ht="14.65" hidden="false" customHeight="false" outlineLevel="0" collapsed="false">
      <c r="A23" s="5" t="s">
        <v>25</v>
      </c>
      <c r="B23" s="3" t="n">
        <v>42397</v>
      </c>
      <c r="C23" s="3" t="n">
        <v>72203</v>
      </c>
      <c r="D23" s="3" t="n">
        <v>114600</v>
      </c>
      <c r="E23" s="3" t="n">
        <v>14987</v>
      </c>
      <c r="F23" s="3" t="n">
        <v>16041</v>
      </c>
      <c r="G23" s="3" t="n">
        <v>31028</v>
      </c>
    </row>
    <row r="24" customFormat="false" ht="14.65" hidden="false" customHeight="false" outlineLevel="0" collapsed="false">
      <c r="A24" s="4" t="s">
        <v>26</v>
      </c>
      <c r="B24" s="3" t="e">
        <f aca="false">#REF!</f>
        <v>#VALUE!</v>
      </c>
      <c r="C24" s="3" t="e">
        <f aca="false">#REF!</f>
        <v>#VALUE!</v>
      </c>
      <c r="D24" s="3" t="e">
        <f aca="false">#REF!</f>
        <v>#VALUE!</v>
      </c>
      <c r="E24" s="3" t="e">
        <f aca="false">#REF!</f>
        <v>#VALUE!</v>
      </c>
      <c r="F24" s="3" t="e">
        <f aca="false">#REF!</f>
        <v>#VALUE!</v>
      </c>
      <c r="G24" s="3" t="e">
        <f aca="false">#REF!</f>
        <v>#VALUE!</v>
      </c>
    </row>
    <row r="25" customFormat="false" ht="14.65" hidden="false" customHeight="false" outlineLevel="0" collapsed="false">
      <c r="A25" s="4" t="s">
        <v>27</v>
      </c>
      <c r="B25" s="3" t="n">
        <v>94588</v>
      </c>
      <c r="C25" s="3" t="n">
        <v>238373</v>
      </c>
      <c r="D25" s="3" t="n">
        <v>332961</v>
      </c>
      <c r="E25" s="3" t="n">
        <v>2688</v>
      </c>
      <c r="F25" s="3" t="n">
        <v>7909</v>
      </c>
      <c r="G25" s="3" t="n">
        <v>10597</v>
      </c>
    </row>
    <row r="26" customFormat="false" ht="14.65" hidden="false" customHeight="false" outlineLevel="0" collapsed="false">
      <c r="A26" s="4" t="s">
        <v>28</v>
      </c>
      <c r="B26" s="3" t="n">
        <v>4420</v>
      </c>
      <c r="C26" s="3" t="n">
        <v>50380</v>
      </c>
      <c r="D26" s="3" t="n">
        <v>54800</v>
      </c>
      <c r="E26" s="3" t="n">
        <v>363</v>
      </c>
      <c r="F26" s="3" t="n">
        <v>7371</v>
      </c>
      <c r="G26" s="3" t="n">
        <v>7734</v>
      </c>
    </row>
    <row r="27" customFormat="false" ht="14.65" hidden="false" customHeight="false" outlineLevel="0" collapsed="false">
      <c r="A27" s="5" t="s">
        <v>29</v>
      </c>
      <c r="B27" s="3" t="n">
        <v>79085</v>
      </c>
      <c r="C27" s="3" t="n">
        <v>154176</v>
      </c>
      <c r="D27" s="3" t="n">
        <v>233261</v>
      </c>
      <c r="E27" s="3" t="n">
        <v>6980</v>
      </c>
      <c r="F27" s="3" t="n">
        <v>84597</v>
      </c>
      <c r="G27" s="3" t="n">
        <v>91577</v>
      </c>
    </row>
    <row r="28" customFormat="false" ht="14.65" hidden="false" customHeight="false" outlineLevel="0" collapsed="false">
      <c r="A28" s="4" t="s">
        <v>30</v>
      </c>
      <c r="B28" s="3" t="e">
        <f aca="false">#REF!</f>
        <v>#VALUE!</v>
      </c>
      <c r="C28" s="3" t="e">
        <f aca="false">#REF!</f>
        <v>#VALUE!</v>
      </c>
      <c r="D28" s="3" t="e">
        <f aca="false">#REF!</f>
        <v>#VALUE!</v>
      </c>
      <c r="E28" s="3" t="e">
        <f aca="false">#REF!</f>
        <v>#VALUE!</v>
      </c>
      <c r="F28" s="3" t="e">
        <f aca="false">#REF!</f>
        <v>#VALUE!</v>
      </c>
      <c r="G28" s="3" t="e">
        <f aca="false">#REF!</f>
        <v>#VALUE!</v>
      </c>
    </row>
    <row r="29" customFormat="false" ht="14.65" hidden="false" customHeight="false" outlineLevel="0" collapsed="false">
      <c r="A29" s="4" t="s">
        <v>31</v>
      </c>
      <c r="B29" s="3" t="n">
        <v>261891</v>
      </c>
      <c r="C29" s="3" t="n">
        <v>64799</v>
      </c>
      <c r="D29" s="3" t="n">
        <v>326690</v>
      </c>
      <c r="E29" s="3" t="n">
        <v>44295</v>
      </c>
      <c r="F29" s="3" t="n">
        <v>9639</v>
      </c>
      <c r="G29" s="3" t="n">
        <v>53934</v>
      </c>
    </row>
    <row r="30" customFormat="false" ht="14.65" hidden="false" customHeight="false" outlineLevel="0" collapsed="false">
      <c r="A30" s="4" t="s">
        <v>32</v>
      </c>
      <c r="B30" s="3" t="n">
        <v>75321</v>
      </c>
      <c r="C30" s="3" t="n">
        <v>372047</v>
      </c>
      <c r="D30" s="3" t="n">
        <v>447368</v>
      </c>
      <c r="E30" s="3" t="n">
        <v>6115</v>
      </c>
      <c r="F30" s="3" t="n">
        <v>34480</v>
      </c>
      <c r="G30" s="3" t="n">
        <v>40595</v>
      </c>
    </row>
    <row r="31" customFormat="false" ht="14.65" hidden="false" customHeight="false" outlineLevel="0" collapsed="false">
      <c r="A31" s="5" t="s">
        <v>33</v>
      </c>
      <c r="B31" s="3" t="n">
        <v>29423</v>
      </c>
      <c r="C31" s="3" t="n">
        <v>91401</v>
      </c>
      <c r="D31" s="3" t="n">
        <v>120824</v>
      </c>
      <c r="E31" s="3" t="n">
        <v>770</v>
      </c>
      <c r="F31" s="3" t="n">
        <v>2241</v>
      </c>
      <c r="G31" s="3" t="n">
        <v>3011</v>
      </c>
    </row>
    <row r="32" customFormat="false" ht="14.65" hidden="false" customHeight="false" outlineLevel="0" collapsed="false">
      <c r="A32" s="4" t="s">
        <v>34</v>
      </c>
      <c r="B32" s="3" t="n">
        <v>77983</v>
      </c>
      <c r="C32" s="3" t="n">
        <v>107018</v>
      </c>
      <c r="D32" s="3" t="n">
        <v>185001</v>
      </c>
      <c r="E32" s="3" t="n">
        <v>22339</v>
      </c>
      <c r="F32" s="3" t="n">
        <v>13394</v>
      </c>
      <c r="G32" s="3" t="n">
        <v>35733</v>
      </c>
    </row>
    <row r="33" customFormat="false" ht="14.65" hidden="false" customHeight="false" outlineLevel="0" collapsed="false">
      <c r="A33" s="4" t="s">
        <v>35</v>
      </c>
      <c r="B33" s="3" t="n">
        <v>4706</v>
      </c>
      <c r="C33" s="3" t="n">
        <v>35328</v>
      </c>
      <c r="D33" s="3" t="n">
        <v>40034</v>
      </c>
      <c r="E33" s="3" t="n">
        <v>485</v>
      </c>
      <c r="F33" s="3" t="n">
        <v>2123</v>
      </c>
      <c r="G33" s="3" t="n">
        <v>2608</v>
      </c>
    </row>
    <row r="34" customFormat="false" ht="14.65" hidden="false" customHeight="false" outlineLevel="0" collapsed="false">
      <c r="A34" s="4" t="s">
        <v>36</v>
      </c>
      <c r="B34" s="3" t="n">
        <v>25688</v>
      </c>
      <c r="C34" s="3" t="n">
        <v>33785</v>
      </c>
      <c r="D34" s="3" t="n">
        <v>59473</v>
      </c>
      <c r="E34" s="3" t="n">
        <v>469</v>
      </c>
      <c r="F34" s="3" t="n">
        <v>7711</v>
      </c>
      <c r="G34" s="3" t="n">
        <v>8180</v>
      </c>
    </row>
    <row r="35" customFormat="false" ht="14.65" hidden="false" customHeight="false" outlineLevel="0" collapsed="false">
      <c r="A35" s="5" t="s">
        <v>37</v>
      </c>
      <c r="B35" s="3" t="e">
        <f aca="false">#REF!</f>
        <v>#VALUE!</v>
      </c>
      <c r="C35" s="3" t="e">
        <f aca="false">#REF!</f>
        <v>#VALUE!</v>
      </c>
      <c r="D35" s="3" t="e">
        <f aca="false">#REF!</f>
        <v>#VALUE!</v>
      </c>
      <c r="E35" s="3" t="e">
        <f aca="false">#REF!</f>
        <v>#VALUE!</v>
      </c>
      <c r="F35" s="3" t="e">
        <f aca="false">#REF!</f>
        <v>#VALUE!</v>
      </c>
      <c r="G35" s="3" t="e">
        <f aca="false">#REF!</f>
        <v>#VALUE!</v>
      </c>
    </row>
    <row r="36" customFormat="false" ht="14.65" hidden="false" customHeight="false" outlineLevel="0" collapsed="false">
      <c r="A36" s="4" t="s">
        <v>38</v>
      </c>
      <c r="B36" s="3" t="n">
        <v>12430</v>
      </c>
      <c r="C36" s="3" t="n">
        <v>58654</v>
      </c>
      <c r="D36" s="3" t="n">
        <v>71084</v>
      </c>
      <c r="E36" s="3" t="n">
        <v>555</v>
      </c>
      <c r="F36" s="3" t="n">
        <v>9422</v>
      </c>
      <c r="G36" s="3" t="n">
        <v>9977</v>
      </c>
    </row>
    <row r="37" customFormat="false" ht="14.65" hidden="false" customHeight="false" outlineLevel="0" collapsed="false">
      <c r="A37" s="4" t="s">
        <v>39</v>
      </c>
      <c r="B37" s="3" t="n">
        <v>498494</v>
      </c>
      <c r="C37" s="3" t="n">
        <v>436924</v>
      </c>
      <c r="D37" s="3" t="n">
        <v>935418</v>
      </c>
      <c r="E37" s="3" t="n">
        <v>38105</v>
      </c>
      <c r="F37" s="3" t="n">
        <v>129416</v>
      </c>
      <c r="G37" s="3" t="n">
        <v>167521</v>
      </c>
    </row>
    <row r="38" customFormat="false" ht="14.65" hidden="false" customHeight="false" outlineLevel="0" collapsed="false">
      <c r="A38" s="4" t="s">
        <v>40</v>
      </c>
      <c r="B38" s="3" t="n">
        <v>27850</v>
      </c>
      <c r="C38" s="3" t="n">
        <v>49279</v>
      </c>
      <c r="D38" s="3" t="n">
        <v>77129</v>
      </c>
      <c r="E38" s="3" t="e">
        <f aca="false">#REF!</f>
        <v>#VALUE!</v>
      </c>
      <c r="F38" s="3" t="e">
        <f aca="false">#REF!</f>
        <v>#VALUE!</v>
      </c>
      <c r="G38" s="3" t="e">
        <f aca="false">#REF!</f>
        <v>#VALUE!</v>
      </c>
    </row>
    <row r="39" customFormat="false" ht="14.65" hidden="false" customHeight="false" outlineLevel="0" collapsed="false">
      <c r="A39" s="5" t="s">
        <v>41</v>
      </c>
      <c r="B39" s="3" t="n">
        <v>659716</v>
      </c>
      <c r="C39" s="3" t="n">
        <v>1156753</v>
      </c>
      <c r="D39" s="3" t="n">
        <v>1816469</v>
      </c>
      <c r="E39" s="3" t="n">
        <v>6566</v>
      </c>
      <c r="F39" s="3" t="n">
        <v>139131</v>
      </c>
      <c r="G39" s="3" t="n">
        <v>145697</v>
      </c>
    </row>
    <row r="40" customFormat="false" ht="14.65" hidden="false" customHeight="false" outlineLevel="0" collapsed="false">
      <c r="A40" s="4" t="s">
        <v>42</v>
      </c>
      <c r="B40" s="3" t="n">
        <v>64284</v>
      </c>
      <c r="C40" s="3" t="n">
        <v>356506</v>
      </c>
      <c r="D40" s="3" t="n">
        <v>420790</v>
      </c>
      <c r="E40" s="3" t="n">
        <v>2913</v>
      </c>
      <c r="F40" s="3" t="n">
        <v>285614</v>
      </c>
      <c r="G40" s="3" t="n">
        <v>288527</v>
      </c>
    </row>
    <row r="41" customFormat="false" ht="14.65" hidden="false" customHeight="false" outlineLevel="0" collapsed="false">
      <c r="A41" s="4" t="s">
        <v>43</v>
      </c>
      <c r="B41" s="3" t="n">
        <v>12595</v>
      </c>
      <c r="C41" s="3" t="n">
        <v>38445</v>
      </c>
      <c r="D41" s="3" t="n">
        <v>51040</v>
      </c>
      <c r="E41" s="3" t="n">
        <v>244</v>
      </c>
      <c r="F41" s="3" t="n">
        <v>1285</v>
      </c>
      <c r="G41" s="3" t="n">
        <v>1529</v>
      </c>
    </row>
    <row r="42" customFormat="false" ht="14.65" hidden="false" customHeight="false" outlineLevel="0" collapsed="false">
      <c r="A42" s="4" t="s">
        <v>44</v>
      </c>
      <c r="B42" s="3" t="n">
        <v>221034</v>
      </c>
      <c r="C42" s="3" t="n">
        <v>317734</v>
      </c>
      <c r="D42" s="3" t="n">
        <v>538768</v>
      </c>
      <c r="E42" s="3" t="n">
        <v>18514</v>
      </c>
      <c r="F42" s="3" t="n">
        <v>67884</v>
      </c>
      <c r="G42" s="3" t="n">
        <v>86398</v>
      </c>
    </row>
    <row r="43" customFormat="false" ht="14.65" hidden="false" customHeight="false" outlineLevel="0" collapsed="false">
      <c r="A43" s="5" t="s">
        <v>45</v>
      </c>
      <c r="B43" s="3" t="n">
        <v>49705</v>
      </c>
      <c r="C43" s="3" t="n">
        <v>155221</v>
      </c>
      <c r="D43" s="3" t="n">
        <v>204926</v>
      </c>
      <c r="E43" s="3" t="n">
        <v>2411</v>
      </c>
      <c r="F43" s="3" t="n">
        <v>5119</v>
      </c>
      <c r="G43" s="3" t="n">
        <v>7530</v>
      </c>
    </row>
    <row r="44" customFormat="false" ht="14.65" hidden="false" customHeight="false" outlineLevel="0" collapsed="false">
      <c r="A44" s="4" t="s">
        <v>46</v>
      </c>
      <c r="B44" s="3" t="n">
        <v>20270</v>
      </c>
      <c r="C44" s="3" t="n">
        <v>141847</v>
      </c>
      <c r="D44" s="3" t="n">
        <v>162117</v>
      </c>
      <c r="E44" s="3" t="n">
        <v>9788</v>
      </c>
      <c r="F44" s="3" t="n">
        <v>49226</v>
      </c>
      <c r="G44" s="3" t="n">
        <v>59014</v>
      </c>
    </row>
    <row r="45" customFormat="false" ht="14.65" hidden="false" customHeight="false" outlineLevel="0" collapsed="false">
      <c r="A45" s="4" t="s">
        <v>47</v>
      </c>
      <c r="B45" s="3" t="n">
        <v>315428</v>
      </c>
      <c r="C45" s="3" t="n">
        <v>409182</v>
      </c>
      <c r="D45" s="3" t="n">
        <v>724610</v>
      </c>
      <c r="E45" s="3" t="n">
        <v>12640</v>
      </c>
      <c r="F45" s="3" t="n">
        <v>342892</v>
      </c>
      <c r="G45" s="3" t="n">
        <v>355532</v>
      </c>
    </row>
    <row r="46" customFormat="false" ht="14.65" hidden="false" customHeight="false" outlineLevel="0" collapsed="false">
      <c r="A46" s="4" t="s">
        <v>48</v>
      </c>
      <c r="B46" s="3" t="n">
        <v>24216</v>
      </c>
      <c r="C46" s="3" t="n">
        <v>172300</v>
      </c>
      <c r="D46" s="3" t="n">
        <v>196516</v>
      </c>
      <c r="E46" s="3" t="n">
        <v>4785</v>
      </c>
      <c r="F46" s="3" t="n">
        <v>16366</v>
      </c>
      <c r="G46" s="3" t="n">
        <v>21151</v>
      </c>
    </row>
    <row r="47" customFormat="false" ht="14.65" hidden="false" customHeight="false" outlineLevel="0" collapsed="false">
      <c r="A47" s="5" t="s">
        <v>49</v>
      </c>
      <c r="B47" s="3" t="n">
        <v>32565</v>
      </c>
      <c r="C47" s="3" t="n">
        <v>150992</v>
      </c>
      <c r="D47" s="3" t="n">
        <v>183557</v>
      </c>
      <c r="E47" s="3" t="n">
        <v>85</v>
      </c>
      <c r="F47" s="3" t="n">
        <v>111198</v>
      </c>
      <c r="G47" s="3" t="n">
        <v>111283</v>
      </c>
    </row>
    <row r="48" customFormat="false" ht="14.65" hidden="false" customHeight="false" outlineLevel="0" collapsed="false">
      <c r="A48" s="4" t="s">
        <v>50</v>
      </c>
      <c r="B48" s="3" t="n">
        <v>8696</v>
      </c>
      <c r="C48" s="3" t="n">
        <v>46384</v>
      </c>
      <c r="D48" s="3" t="n">
        <v>55080</v>
      </c>
      <c r="E48" s="3" t="n">
        <v>648</v>
      </c>
      <c r="F48" s="3" t="n">
        <v>1537</v>
      </c>
      <c r="G48" s="3" t="n">
        <v>2185</v>
      </c>
    </row>
    <row r="49" customFormat="false" ht="14.65" hidden="false" customHeight="false" outlineLevel="0" collapsed="false">
      <c r="A49" s="4" t="s">
        <v>51</v>
      </c>
      <c r="B49" s="3" t="n">
        <v>79292</v>
      </c>
      <c r="C49" s="3" t="n">
        <v>109327</v>
      </c>
      <c r="D49" s="3" t="n">
        <v>188619</v>
      </c>
      <c r="E49" s="3" t="n">
        <v>18005</v>
      </c>
      <c r="F49" s="3" t="n">
        <v>27009</v>
      </c>
      <c r="G49" s="3" t="n">
        <v>45014</v>
      </c>
    </row>
    <row r="50" customFormat="false" ht="14.65" hidden="false" customHeight="false" outlineLevel="0" collapsed="false">
      <c r="A50" s="4" t="s">
        <v>52</v>
      </c>
      <c r="B50" s="3" t="n">
        <v>299955</v>
      </c>
      <c r="C50" s="3" t="n">
        <v>715039</v>
      </c>
      <c r="D50" s="3" t="n">
        <v>1014994</v>
      </c>
      <c r="E50" s="3" t="n">
        <v>34146</v>
      </c>
      <c r="F50" s="3" t="n">
        <v>107606</v>
      </c>
      <c r="G50" s="3" t="n">
        <v>141752</v>
      </c>
    </row>
    <row r="51" customFormat="false" ht="14.65" hidden="false" customHeight="false" outlineLevel="0" collapsed="false">
      <c r="A51" s="5" t="s">
        <v>53</v>
      </c>
      <c r="B51" s="3" t="n">
        <v>47041</v>
      </c>
      <c r="C51" s="3" t="n">
        <v>69962</v>
      </c>
      <c r="D51" s="3" t="n">
        <v>117003</v>
      </c>
      <c r="E51" s="3" t="n">
        <v>13300</v>
      </c>
      <c r="F51" s="3" t="n">
        <v>11140</v>
      </c>
      <c r="G51" s="3" t="n">
        <v>24440</v>
      </c>
    </row>
    <row r="52" customFormat="false" ht="14.65" hidden="false" customHeight="false" outlineLevel="0" collapsed="false">
      <c r="A52" s="4" t="s">
        <v>54</v>
      </c>
      <c r="B52" s="3" t="n">
        <v>1240</v>
      </c>
      <c r="C52" s="3" t="n">
        <v>46248</v>
      </c>
      <c r="D52" s="3" t="n">
        <v>47488</v>
      </c>
      <c r="E52" s="3" t="n">
        <v>195</v>
      </c>
      <c r="F52" s="3" t="n">
        <v>743</v>
      </c>
      <c r="G52" s="3" t="n">
        <v>938</v>
      </c>
    </row>
    <row r="53" customFormat="false" ht="14.65" hidden="false" customHeight="false" outlineLevel="0" collapsed="false">
      <c r="A53" s="4" t="s">
        <v>55</v>
      </c>
      <c r="B53" s="3" t="n">
        <v>60013</v>
      </c>
      <c r="C53" s="3" t="n">
        <v>336862</v>
      </c>
      <c r="D53" s="3" t="n">
        <v>396875</v>
      </c>
      <c r="E53" s="3" t="n">
        <v>34331</v>
      </c>
      <c r="F53" s="3" t="n">
        <v>171618</v>
      </c>
      <c r="G53" s="3" t="n">
        <v>205949</v>
      </c>
    </row>
    <row r="54" customFormat="false" ht="14.65" hidden="false" customHeight="false" outlineLevel="0" collapsed="false">
      <c r="A54" s="4" t="s">
        <v>56</v>
      </c>
      <c r="B54" s="3" t="n">
        <v>222494</v>
      </c>
      <c r="C54" s="3" t="n">
        <v>192792</v>
      </c>
      <c r="D54" s="3" t="n">
        <v>415286</v>
      </c>
      <c r="E54" s="3" t="n">
        <v>9553</v>
      </c>
      <c r="F54" s="3" t="n">
        <v>21089</v>
      </c>
      <c r="G54" s="3" t="n">
        <v>30642</v>
      </c>
    </row>
    <row r="55" customFormat="false" ht="14.65" hidden="false" customHeight="false" outlineLevel="0" collapsed="false">
      <c r="A55" s="5" t="s">
        <v>57</v>
      </c>
      <c r="B55" s="3" t="n">
        <v>18925</v>
      </c>
      <c r="C55" s="3" t="n">
        <v>120989</v>
      </c>
      <c r="D55" s="3" t="n">
        <v>139914</v>
      </c>
      <c r="E55" s="3" t="n">
        <v>5204</v>
      </c>
      <c r="F55" s="3" t="n">
        <v>59219</v>
      </c>
      <c r="G55" s="3" t="n">
        <v>64423</v>
      </c>
    </row>
    <row r="56" customFormat="false" ht="14.65" hidden="false" customHeight="false" outlineLevel="0" collapsed="false">
      <c r="A56" s="4" t="s">
        <v>58</v>
      </c>
      <c r="B56" s="3" t="n">
        <v>26875</v>
      </c>
      <c r="C56" s="3" t="n">
        <v>205270</v>
      </c>
      <c r="D56" s="3" t="n">
        <v>232145</v>
      </c>
      <c r="E56" s="3" t="n">
        <v>1390</v>
      </c>
      <c r="F56" s="3" t="n">
        <v>9528</v>
      </c>
      <c r="G56" s="3" t="n">
        <v>10918</v>
      </c>
    </row>
    <row r="57" customFormat="false" ht="14.65" hidden="false" customHeight="false" outlineLevel="0" collapsed="false">
      <c r="A57" s="4" t="s">
        <v>59</v>
      </c>
      <c r="B57" s="3" t="n">
        <v>2778</v>
      </c>
      <c r="C57" s="3" t="n">
        <v>22867</v>
      </c>
      <c r="D57" s="3" t="n">
        <v>25645</v>
      </c>
      <c r="E57" s="3" t="n">
        <v>791</v>
      </c>
      <c r="F57" s="3" t="n">
        <v>1731</v>
      </c>
      <c r="G57" s="3" t="n">
        <v>2522</v>
      </c>
    </row>
    <row r="58" customFormat="false" ht="14.65" hidden="false" customHeight="false" outlineLevel="0" collapsed="false">
      <c r="A58" s="5" t="s">
        <v>60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 customFormat="false" ht="14.65" hidden="false" customHeight="false" outlineLevel="0" collapsed="false">
      <c r="A59" s="6" t="s">
        <v>61</v>
      </c>
      <c r="B59" s="3" t="n">
        <v>5539140</v>
      </c>
      <c r="C59" s="3" t="e">
        <f aca="false">#REF!</f>
        <v>#VALUE!</v>
      </c>
      <c r="D59" s="3" t="n">
        <v>15864206</v>
      </c>
      <c r="E59" s="3" t="n">
        <v>452488</v>
      </c>
      <c r="F59" s="3" t="e">
        <f aca="false">#REF!</f>
        <v>#VALUE!</v>
      </c>
      <c r="G59" s="3" t="n">
        <v>2973365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6" activeCellId="0" sqref="D6:D59 D6:D59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B1" s="3" t="s">
        <v>239</v>
      </c>
    </row>
    <row r="2" customFormat="false" ht="14.65" hidden="false" customHeight="false" outlineLevel="0" collapsed="false">
      <c r="C2" s="3" t="s">
        <v>232</v>
      </c>
    </row>
    <row r="3" customFormat="false" ht="14.65" hidden="false" customHeight="false" outlineLevel="0" collapsed="false">
      <c r="A3" s="19" t="s">
        <v>108</v>
      </c>
      <c r="B3" s="3" t="s">
        <v>233</v>
      </c>
      <c r="E3" s="3" t="s">
        <v>234</v>
      </c>
    </row>
    <row r="4" customFormat="false" ht="14.65" hidden="false" customHeight="false" outlineLevel="0" collapsed="false">
      <c r="A4" s="1"/>
      <c r="B4" s="3" t="s">
        <v>240</v>
      </c>
      <c r="C4" s="3" t="s">
        <v>238</v>
      </c>
      <c r="D4" s="3" t="s">
        <v>238</v>
      </c>
      <c r="E4" s="3" t="s">
        <v>238</v>
      </c>
      <c r="F4" s="3" t="s">
        <v>238</v>
      </c>
      <c r="G4" s="3" t="s">
        <v>238</v>
      </c>
    </row>
    <row r="5" customFormat="false" ht="14.65" hidden="false" customHeight="false" outlineLevel="0" collapsed="false">
      <c r="A5" s="17"/>
      <c r="B5" s="3" t="s">
        <v>236</v>
      </c>
      <c r="C5" s="3" t="s">
        <v>237</v>
      </c>
      <c r="D5" s="3" t="s">
        <v>238</v>
      </c>
      <c r="E5" s="3" t="s">
        <v>236</v>
      </c>
      <c r="F5" s="3" t="s">
        <v>237</v>
      </c>
      <c r="G5" s="3" t="s">
        <v>238</v>
      </c>
    </row>
    <row r="6" customFormat="false" ht="14.65" hidden="false" customHeight="false" outlineLevel="0" collapsed="false">
      <c r="A6" s="1"/>
      <c r="B6" s="3" t="s">
        <v>182</v>
      </c>
      <c r="C6" s="3" t="s">
        <v>183</v>
      </c>
      <c r="D6" s="3" t="s">
        <v>184</v>
      </c>
      <c r="E6" s="3" t="s">
        <v>185</v>
      </c>
      <c r="F6" s="3" t="s">
        <v>186</v>
      </c>
      <c r="G6" s="3" t="s">
        <v>187</v>
      </c>
    </row>
    <row r="7" customFormat="false" ht="14.65" hidden="false" customHeight="false" outlineLevel="0" collapsed="false">
      <c r="A7" s="4" t="s">
        <v>8</v>
      </c>
      <c r="B7" s="3" t="n">
        <v>154832</v>
      </c>
      <c r="C7" s="3" t="n">
        <v>315400</v>
      </c>
      <c r="D7" s="3" t="n">
        <v>470232</v>
      </c>
      <c r="E7" s="3" t="n">
        <v>14420</v>
      </c>
      <c r="F7" s="3" t="n">
        <v>143448</v>
      </c>
      <c r="G7" s="3" t="n">
        <v>157868</v>
      </c>
    </row>
    <row r="8" customFormat="false" ht="14.65" hidden="false" customHeight="false" outlineLevel="0" collapsed="false">
      <c r="A8" s="4" t="s">
        <v>9</v>
      </c>
      <c r="B8" s="3" t="n">
        <v>86118</v>
      </c>
      <c r="C8" s="3" t="n">
        <v>155882</v>
      </c>
      <c r="D8" s="3" t="n">
        <v>242000</v>
      </c>
      <c r="E8" s="3" t="n">
        <v>5113</v>
      </c>
      <c r="F8" s="3" t="n">
        <v>28287</v>
      </c>
      <c r="G8" s="3" t="n">
        <v>33400</v>
      </c>
    </row>
    <row r="9" customFormat="false" ht="14.65" hidden="false" customHeight="false" outlineLevel="0" collapsed="false">
      <c r="A9" s="4" t="s">
        <v>10</v>
      </c>
      <c r="B9" s="3" t="n">
        <v>114652</v>
      </c>
      <c r="C9" s="3" t="n">
        <v>366147</v>
      </c>
      <c r="D9" s="3" t="n">
        <v>480799</v>
      </c>
      <c r="E9" s="3" t="s">
        <v>20</v>
      </c>
      <c r="F9" s="3" t="e">
        <f aca="false">#REF!</f>
        <v>#VALUE!</v>
      </c>
      <c r="G9" s="3" t="n">
        <v>68839</v>
      </c>
    </row>
    <row r="10" customFormat="false" ht="14.65" hidden="false" customHeight="false" outlineLevel="0" collapsed="false">
      <c r="A10" s="4" t="s">
        <v>11</v>
      </c>
      <c r="B10" s="3" t="n">
        <v>32980</v>
      </c>
      <c r="C10" s="3" t="n">
        <v>329352</v>
      </c>
      <c r="D10" s="3" t="n">
        <v>362332</v>
      </c>
      <c r="E10" s="3" t="n">
        <v>8541</v>
      </c>
      <c r="F10" s="3" t="n">
        <v>84871</v>
      </c>
      <c r="G10" s="3" t="n">
        <v>93412</v>
      </c>
    </row>
    <row r="11" customFormat="false" ht="14.65" hidden="false" customHeight="false" outlineLevel="0" collapsed="false">
      <c r="A11" s="5" t="s">
        <v>12</v>
      </c>
      <c r="B11" s="3" t="n">
        <v>575406</v>
      </c>
      <c r="C11" s="3" t="n">
        <v>1559917</v>
      </c>
      <c r="D11" s="3" t="n">
        <v>2135323</v>
      </c>
      <c r="E11" s="3" t="n">
        <v>96822</v>
      </c>
      <c r="F11" s="3" t="n">
        <v>245638</v>
      </c>
      <c r="G11" s="3" t="n">
        <v>342460</v>
      </c>
    </row>
    <row r="12" customFormat="false" ht="14.65" hidden="false" customHeight="false" outlineLevel="0" collapsed="false">
      <c r="A12" s="4" t="s">
        <v>13</v>
      </c>
      <c r="B12" s="3" t="n">
        <v>173273</v>
      </c>
      <c r="C12" s="3" t="n">
        <v>168003</v>
      </c>
      <c r="D12" s="3" t="n">
        <v>341276</v>
      </c>
      <c r="E12" s="3" t="n">
        <v>25375</v>
      </c>
      <c r="F12" s="3" t="n">
        <v>99833</v>
      </c>
      <c r="G12" s="3" t="n">
        <v>125208</v>
      </c>
    </row>
    <row r="13" customFormat="false" ht="14.65" hidden="false" customHeight="false" outlineLevel="0" collapsed="false">
      <c r="A13" s="4" t="s">
        <v>14</v>
      </c>
      <c r="B13" s="3" t="n">
        <v>213835</v>
      </c>
      <c r="C13" s="3" t="n">
        <v>374287</v>
      </c>
      <c r="D13" s="3" t="n">
        <v>588122</v>
      </c>
      <c r="E13" s="3" t="n">
        <v>4612</v>
      </c>
      <c r="F13" s="3" t="n">
        <v>44702</v>
      </c>
      <c r="G13" s="3" t="n">
        <v>49314</v>
      </c>
    </row>
    <row r="14" customFormat="false" ht="14.65" hidden="false" customHeight="false" outlineLevel="0" collapsed="false">
      <c r="A14" s="4" t="s">
        <v>15</v>
      </c>
      <c r="B14" s="3" t="n">
        <v>22297</v>
      </c>
      <c r="C14" s="3" t="n">
        <v>183238</v>
      </c>
      <c r="D14" s="3" t="n">
        <v>205535</v>
      </c>
      <c r="E14" s="3" t="n">
        <v>3083</v>
      </c>
      <c r="F14" s="3" t="n">
        <v>26036</v>
      </c>
      <c r="G14" s="3" t="n">
        <v>29119</v>
      </c>
    </row>
    <row r="15" customFormat="false" ht="14.65" hidden="false" customHeight="false" outlineLevel="0" collapsed="false">
      <c r="A15" s="5" t="s">
        <v>16</v>
      </c>
      <c r="B15" s="3" t="n">
        <v>21573</v>
      </c>
      <c r="C15" s="3" t="n">
        <v>86621</v>
      </c>
      <c r="D15" s="3" t="n">
        <v>108194</v>
      </c>
      <c r="E15" s="3" t="n">
        <v>1848</v>
      </c>
      <c r="F15" s="3" t="n">
        <v>26106</v>
      </c>
      <c r="G15" s="3" t="n">
        <v>27954</v>
      </c>
    </row>
    <row r="16" customFormat="false" ht="14.65" hidden="false" customHeight="false" outlineLevel="0" collapsed="false">
      <c r="A16" s="4" t="s">
        <v>17</v>
      </c>
      <c r="B16" s="3" t="n">
        <v>319475</v>
      </c>
      <c r="C16" s="3" t="n">
        <v>1365494</v>
      </c>
      <c r="D16" s="3" t="n">
        <v>1684969</v>
      </c>
      <c r="E16" s="3" t="n">
        <v>12353</v>
      </c>
      <c r="F16" s="3" t="n">
        <v>185044</v>
      </c>
      <c r="G16" s="3" t="n">
        <v>197397</v>
      </c>
    </row>
    <row r="17" customFormat="false" ht="14.65" hidden="false" customHeight="false" outlineLevel="0" collapsed="false">
      <c r="A17" s="4" t="s">
        <v>18</v>
      </c>
      <c r="B17" s="3" t="n">
        <v>225246</v>
      </c>
      <c r="C17" s="3" t="n">
        <v>512450</v>
      </c>
      <c r="D17" s="3" t="n">
        <v>737696</v>
      </c>
      <c r="E17" s="3" t="n">
        <v>12754</v>
      </c>
      <c r="F17" s="3" t="n">
        <v>150763</v>
      </c>
      <c r="G17" s="3" t="n">
        <v>163517</v>
      </c>
    </row>
    <row r="18" customFormat="false" ht="14.65" hidden="false" customHeight="false" outlineLevel="0" collapsed="false">
      <c r="A18" s="4" t="s">
        <v>19</v>
      </c>
      <c r="B18" s="3" t="n">
        <v>211849</v>
      </c>
      <c r="C18" s="3" t="n">
        <v>91897</v>
      </c>
      <c r="D18" s="3" t="n">
        <v>303746</v>
      </c>
      <c r="E18" s="3" t="n">
        <v>2660</v>
      </c>
      <c r="F18" s="3" t="n">
        <v>12421</v>
      </c>
      <c r="G18" s="3" t="n">
        <v>15081</v>
      </c>
    </row>
    <row r="19" customFormat="false" ht="14.65" hidden="false" customHeight="false" outlineLevel="0" collapsed="false">
      <c r="A19" s="5" t="s">
        <v>21</v>
      </c>
      <c r="B19" s="3" t="n">
        <v>41998</v>
      </c>
      <c r="C19" s="3" t="n">
        <v>82935</v>
      </c>
      <c r="D19" s="3" t="n">
        <v>124933</v>
      </c>
      <c r="E19" s="3" t="n">
        <v>2653</v>
      </c>
      <c r="F19" s="3" t="n">
        <v>18804</v>
      </c>
      <c r="G19" s="3" t="n">
        <v>21457</v>
      </c>
    </row>
    <row r="20" customFormat="false" ht="14.65" hidden="false" customHeight="false" outlineLevel="0" collapsed="false">
      <c r="A20" s="4" t="s">
        <v>22</v>
      </c>
      <c r="B20" s="3" t="n">
        <v>578202</v>
      </c>
      <c r="C20" s="3" t="n">
        <v>891554</v>
      </c>
      <c r="D20" s="3" t="n">
        <v>1469756</v>
      </c>
      <c r="E20" s="3" t="n">
        <v>58289</v>
      </c>
      <c r="F20" s="3" t="n">
        <v>198693</v>
      </c>
      <c r="G20" s="3" t="n">
        <v>256982</v>
      </c>
    </row>
    <row r="21" customFormat="false" ht="14.65" hidden="false" customHeight="false" outlineLevel="0" collapsed="false">
      <c r="A21" s="4" t="s">
        <v>23</v>
      </c>
      <c r="B21" s="3" t="n">
        <v>223303</v>
      </c>
      <c r="C21" s="3" t="n">
        <v>412328</v>
      </c>
      <c r="D21" s="3" t="n">
        <v>635631</v>
      </c>
      <c r="E21" s="3" t="n">
        <v>47608</v>
      </c>
      <c r="F21" s="3" t="n">
        <v>141801</v>
      </c>
      <c r="G21" s="3" t="n">
        <v>189409</v>
      </c>
    </row>
    <row r="22" customFormat="false" ht="14.65" hidden="false" customHeight="false" outlineLevel="0" collapsed="false">
      <c r="A22" s="4" t="s">
        <v>24</v>
      </c>
      <c r="B22" s="3" t="n">
        <v>116095</v>
      </c>
      <c r="C22" s="3" t="n">
        <v>296545</v>
      </c>
      <c r="D22" s="3" t="n">
        <v>412640</v>
      </c>
      <c r="E22" s="3" t="n">
        <v>15834</v>
      </c>
      <c r="F22" s="3" t="n">
        <v>42811</v>
      </c>
      <c r="G22" s="3" t="n">
        <v>58645</v>
      </c>
    </row>
    <row r="23" customFormat="false" ht="14.65" hidden="false" customHeight="false" outlineLevel="0" collapsed="false">
      <c r="A23" s="5" t="s">
        <v>25</v>
      </c>
      <c r="B23" s="3" t="n">
        <v>77026</v>
      </c>
      <c r="C23" s="3" t="n">
        <v>356572</v>
      </c>
      <c r="D23" s="3" t="n">
        <v>433598</v>
      </c>
      <c r="E23" s="3" t="n">
        <v>32518</v>
      </c>
      <c r="F23" s="3" t="n">
        <v>57057</v>
      </c>
      <c r="G23" s="3" t="n">
        <v>89575</v>
      </c>
    </row>
    <row r="24" customFormat="false" ht="14.65" hidden="false" customHeight="false" outlineLevel="0" collapsed="false">
      <c r="A24" s="4" t="s">
        <v>26</v>
      </c>
      <c r="B24" s="3" t="s">
        <v>230</v>
      </c>
      <c r="C24" s="3" t="e">
        <f aca="false">#REF!</f>
        <v>#VALUE!</v>
      </c>
      <c r="D24" s="3" t="s">
        <v>20</v>
      </c>
      <c r="E24" s="3" t="s">
        <v>20</v>
      </c>
      <c r="F24" s="3" t="e">
        <f aca="false">#REF!</f>
        <v>#VALUE!</v>
      </c>
      <c r="G24" s="3" t="s">
        <v>20</v>
      </c>
    </row>
    <row r="25" customFormat="false" ht="14.65" hidden="false" customHeight="false" outlineLevel="0" collapsed="false">
      <c r="A25" s="4" t="s">
        <v>27</v>
      </c>
      <c r="B25" s="3" t="n">
        <v>150869</v>
      </c>
      <c r="C25" s="3" t="n">
        <v>447966</v>
      </c>
      <c r="D25" s="3" t="n">
        <v>598835</v>
      </c>
      <c r="E25" s="3" t="n">
        <v>3824</v>
      </c>
      <c r="F25" s="3" t="n">
        <v>67670</v>
      </c>
      <c r="G25" s="3" t="n">
        <v>71494</v>
      </c>
    </row>
    <row r="26" customFormat="false" ht="14.65" hidden="false" customHeight="false" outlineLevel="0" collapsed="false">
      <c r="A26" s="4" t="s">
        <v>28</v>
      </c>
      <c r="B26" s="3" t="n">
        <v>27284</v>
      </c>
      <c r="C26" s="3" t="n">
        <v>111181</v>
      </c>
      <c r="D26" s="3" t="n">
        <v>138465</v>
      </c>
      <c r="E26" s="3" t="n">
        <v>18835</v>
      </c>
      <c r="F26" s="3" t="n">
        <v>57743</v>
      </c>
      <c r="G26" s="3" t="n">
        <v>76578</v>
      </c>
    </row>
    <row r="27" customFormat="false" ht="14.65" hidden="false" customHeight="false" outlineLevel="0" collapsed="false">
      <c r="A27" s="5" t="s">
        <v>29</v>
      </c>
      <c r="B27" s="3" t="n">
        <v>192756</v>
      </c>
      <c r="C27" s="3" t="n">
        <v>278877</v>
      </c>
      <c r="D27" s="3" t="n">
        <v>471633</v>
      </c>
      <c r="E27" s="3" t="n">
        <v>13568</v>
      </c>
      <c r="F27" s="3" t="n">
        <v>87179</v>
      </c>
      <c r="G27" s="3" t="n">
        <v>100747</v>
      </c>
    </row>
    <row r="28" customFormat="false" ht="14.65" hidden="false" customHeight="false" outlineLevel="0" collapsed="false">
      <c r="A28" s="4" t="s">
        <v>30</v>
      </c>
      <c r="B28" s="3" t="s">
        <v>20</v>
      </c>
      <c r="C28" s="3" t="e">
        <f aca="false">#REF!</f>
        <v>#VALUE!</v>
      </c>
      <c r="D28" s="3" t="s">
        <v>20</v>
      </c>
      <c r="E28" s="3" t="s">
        <v>20</v>
      </c>
      <c r="F28" s="3" t="e">
        <f aca="false">#REF!</f>
        <v>#VALUE!</v>
      </c>
      <c r="G28" s="3" t="s">
        <v>20</v>
      </c>
    </row>
    <row r="29" customFormat="false" ht="14.65" hidden="false" customHeight="false" outlineLevel="0" collapsed="false">
      <c r="A29" s="4" t="s">
        <v>31</v>
      </c>
      <c r="B29" s="3" t="n">
        <v>333752</v>
      </c>
      <c r="C29" s="3" t="n">
        <v>227742</v>
      </c>
      <c r="D29" s="3" t="n">
        <v>561494</v>
      </c>
      <c r="E29" s="3" t="n">
        <v>58053</v>
      </c>
      <c r="F29" s="3" t="n">
        <v>36210</v>
      </c>
      <c r="G29" s="3" t="n">
        <v>94263</v>
      </c>
    </row>
    <row r="30" customFormat="false" ht="14.65" hidden="false" customHeight="false" outlineLevel="0" collapsed="false">
      <c r="A30" s="4" t="s">
        <v>32</v>
      </c>
      <c r="B30" s="3" t="n">
        <v>90241</v>
      </c>
      <c r="C30" s="3" t="n">
        <v>517886</v>
      </c>
      <c r="D30" s="3" t="n">
        <v>608127</v>
      </c>
      <c r="E30" s="3" t="n">
        <v>11457</v>
      </c>
      <c r="F30" s="3" t="n">
        <v>86388</v>
      </c>
      <c r="G30" s="3" t="n">
        <v>97845</v>
      </c>
    </row>
    <row r="31" customFormat="false" ht="14.65" hidden="false" customHeight="false" outlineLevel="0" collapsed="false">
      <c r="A31" s="5" t="s">
        <v>33</v>
      </c>
      <c r="B31" s="3" t="n">
        <v>62972</v>
      </c>
      <c r="C31" s="3" t="n">
        <v>370604</v>
      </c>
      <c r="D31" s="3" t="n">
        <v>433576</v>
      </c>
      <c r="E31" s="3" t="n">
        <v>4001</v>
      </c>
      <c r="F31" s="3" t="n">
        <v>33829</v>
      </c>
      <c r="G31" s="3" t="n">
        <v>37830</v>
      </c>
    </row>
    <row r="32" customFormat="false" ht="14.65" hidden="false" customHeight="false" outlineLevel="0" collapsed="false">
      <c r="A32" s="4" t="s">
        <v>34</v>
      </c>
      <c r="B32" s="3" t="n">
        <v>138887</v>
      </c>
      <c r="C32" s="3" t="n">
        <v>361245</v>
      </c>
      <c r="D32" s="3" t="n">
        <v>500132</v>
      </c>
      <c r="E32" s="3" t="n">
        <v>39168</v>
      </c>
      <c r="F32" s="3" t="n">
        <v>116504</v>
      </c>
      <c r="G32" s="3" t="n">
        <v>155672</v>
      </c>
    </row>
    <row r="33" customFormat="false" ht="14.65" hidden="false" customHeight="false" outlineLevel="0" collapsed="false">
      <c r="A33" s="4" t="s">
        <v>35</v>
      </c>
      <c r="B33" s="3" t="n">
        <v>38304</v>
      </c>
      <c r="C33" s="3" t="n">
        <v>152045</v>
      </c>
      <c r="D33" s="3" t="n">
        <v>190349</v>
      </c>
      <c r="E33" s="3" t="n">
        <v>4005</v>
      </c>
      <c r="F33" s="3" t="n">
        <v>14396</v>
      </c>
      <c r="G33" s="3" t="n">
        <v>18401</v>
      </c>
    </row>
    <row r="34" customFormat="false" ht="14.65" hidden="false" customHeight="false" outlineLevel="0" collapsed="false">
      <c r="A34" s="4" t="s">
        <v>36</v>
      </c>
      <c r="B34" s="3" t="n">
        <v>60790</v>
      </c>
      <c r="C34" s="3" t="n">
        <v>211736</v>
      </c>
      <c r="D34" s="3" t="n">
        <v>272526</v>
      </c>
      <c r="E34" s="3" t="n">
        <v>3746</v>
      </c>
      <c r="F34" s="3" t="n">
        <v>32962</v>
      </c>
      <c r="G34" s="3" t="n">
        <v>36708</v>
      </c>
    </row>
    <row r="35" customFormat="false" ht="14.65" hidden="false" customHeight="false" outlineLevel="0" collapsed="false">
      <c r="A35" s="5" t="s">
        <v>37</v>
      </c>
      <c r="B35" s="3" t="s">
        <v>20</v>
      </c>
      <c r="C35" s="3" t="e">
        <f aca="false">#REF!</f>
        <v>#VALUE!</v>
      </c>
      <c r="D35" s="3" t="s">
        <v>20</v>
      </c>
      <c r="E35" s="3" t="s">
        <v>20</v>
      </c>
      <c r="F35" s="3" t="e">
        <f aca="false">#REF!</f>
        <v>#VALUE!</v>
      </c>
      <c r="G35" s="3" t="s">
        <v>20</v>
      </c>
    </row>
    <row r="36" customFormat="false" ht="14.65" hidden="false" customHeight="false" outlineLevel="0" collapsed="false">
      <c r="A36" s="4" t="s">
        <v>38</v>
      </c>
      <c r="B36" s="3" t="n">
        <v>51467</v>
      </c>
      <c r="C36" s="3" t="n">
        <v>120085</v>
      </c>
      <c r="D36" s="3" t="n">
        <v>171552</v>
      </c>
      <c r="E36" s="3" t="n">
        <v>4254</v>
      </c>
      <c r="F36" s="3" t="n">
        <v>53906</v>
      </c>
      <c r="G36" s="3" t="n">
        <v>58160</v>
      </c>
    </row>
    <row r="37" customFormat="false" ht="14.65" hidden="false" customHeight="false" outlineLevel="0" collapsed="false">
      <c r="A37" s="4" t="s">
        <v>39</v>
      </c>
      <c r="B37" s="3" t="n">
        <v>508892</v>
      </c>
      <c r="C37" s="3" t="n">
        <v>532804</v>
      </c>
      <c r="D37" s="3" t="n">
        <v>1041696</v>
      </c>
      <c r="E37" s="3" t="n">
        <v>42906</v>
      </c>
      <c r="F37" s="3" t="n">
        <v>154803</v>
      </c>
      <c r="G37" s="3" t="n">
        <v>197709</v>
      </c>
    </row>
    <row r="38" customFormat="false" ht="14.65" hidden="false" customHeight="false" outlineLevel="0" collapsed="false">
      <c r="A38" s="4" t="s">
        <v>40</v>
      </c>
      <c r="B38" s="3" t="n">
        <v>90980</v>
      </c>
      <c r="C38" s="3" t="n">
        <v>225837</v>
      </c>
      <c r="D38" s="3" t="n">
        <v>316817</v>
      </c>
      <c r="E38" s="3" t="s">
        <v>20</v>
      </c>
      <c r="F38" s="3" t="e">
        <f aca="false">#REF!</f>
        <v>#VALUE!</v>
      </c>
      <c r="G38" s="3" t="n">
        <v>52572</v>
      </c>
    </row>
    <row r="39" customFormat="false" ht="14.65" hidden="false" customHeight="false" outlineLevel="0" collapsed="false">
      <c r="A39" s="5" t="s">
        <v>41</v>
      </c>
      <c r="B39" s="3" t="n">
        <v>968670</v>
      </c>
      <c r="C39" s="3" t="n">
        <v>1236553</v>
      </c>
      <c r="D39" s="3" t="n">
        <v>2205223</v>
      </c>
      <c r="E39" s="3" t="n">
        <v>110653</v>
      </c>
      <c r="F39" s="3" t="n">
        <v>176692</v>
      </c>
      <c r="G39" s="3" t="n">
        <v>287345</v>
      </c>
    </row>
    <row r="40" customFormat="false" ht="14.65" hidden="false" customHeight="false" outlineLevel="0" collapsed="false">
      <c r="A40" s="4" t="s">
        <v>42</v>
      </c>
      <c r="B40" s="3" t="n">
        <v>159397</v>
      </c>
      <c r="C40" s="3" t="n">
        <v>661393</v>
      </c>
      <c r="D40" s="3" t="n">
        <v>820790</v>
      </c>
      <c r="E40" s="3" t="n">
        <v>11652</v>
      </c>
      <c r="F40" s="3" t="n">
        <v>372576</v>
      </c>
      <c r="G40" s="3" t="n">
        <v>384228</v>
      </c>
    </row>
    <row r="41" customFormat="false" ht="14.65" hidden="false" customHeight="false" outlineLevel="0" collapsed="false">
      <c r="A41" s="4" t="s">
        <v>43</v>
      </c>
      <c r="B41" s="3" t="n">
        <v>31913</v>
      </c>
      <c r="C41" s="3" t="n">
        <v>91173</v>
      </c>
      <c r="D41" s="3" t="n">
        <v>123086</v>
      </c>
      <c r="E41" s="3" t="n">
        <v>3523</v>
      </c>
      <c r="F41" s="3" t="n">
        <v>26518</v>
      </c>
      <c r="G41" s="3" t="n">
        <v>30041</v>
      </c>
    </row>
    <row r="42" customFormat="false" ht="14.65" hidden="false" customHeight="false" outlineLevel="0" collapsed="false">
      <c r="A42" s="4" t="s">
        <v>44</v>
      </c>
      <c r="B42" s="3" t="n">
        <v>308252</v>
      </c>
      <c r="C42" s="3" t="n">
        <v>513978</v>
      </c>
      <c r="D42" s="3" t="n">
        <v>822230</v>
      </c>
      <c r="E42" s="3" t="n">
        <v>45838</v>
      </c>
      <c r="F42" s="3" t="n">
        <v>353145</v>
      </c>
      <c r="G42" s="3" t="n">
        <v>398983</v>
      </c>
    </row>
    <row r="43" customFormat="false" ht="14.65" hidden="false" customHeight="false" outlineLevel="0" collapsed="false">
      <c r="A43" s="5" t="s">
        <v>45</v>
      </c>
      <c r="B43" s="3" t="n">
        <v>63297</v>
      </c>
      <c r="C43" s="3" t="n">
        <v>270184</v>
      </c>
      <c r="D43" s="3" t="n">
        <v>333481</v>
      </c>
      <c r="E43" s="3" t="n">
        <v>5559</v>
      </c>
      <c r="F43" s="3" t="n">
        <v>79505</v>
      </c>
      <c r="G43" s="3" t="n">
        <v>85064</v>
      </c>
    </row>
    <row r="44" customFormat="false" ht="14.65" hidden="false" customHeight="false" outlineLevel="0" collapsed="false">
      <c r="A44" s="4" t="s">
        <v>46</v>
      </c>
      <c r="B44" s="3" t="n">
        <v>57217</v>
      </c>
      <c r="C44" s="3" t="n">
        <v>259926</v>
      </c>
      <c r="D44" s="3" t="n">
        <v>317143</v>
      </c>
      <c r="E44" s="3" t="n">
        <v>28352</v>
      </c>
      <c r="F44" s="3" t="n">
        <v>108365</v>
      </c>
      <c r="G44" s="3" t="n">
        <v>136717</v>
      </c>
    </row>
    <row r="45" customFormat="false" ht="14.65" hidden="false" customHeight="false" outlineLevel="0" collapsed="false">
      <c r="A45" s="4" t="s">
        <v>47</v>
      </c>
      <c r="B45" s="3" t="n">
        <v>610832</v>
      </c>
      <c r="C45" s="3" t="n">
        <v>674315</v>
      </c>
      <c r="D45" s="3" t="n">
        <v>1285147</v>
      </c>
      <c r="E45" s="3" t="n">
        <v>56581</v>
      </c>
      <c r="F45" s="3" t="n">
        <v>467463</v>
      </c>
      <c r="G45" s="3" t="n">
        <v>524044</v>
      </c>
    </row>
    <row r="46" customFormat="false" ht="14.65" hidden="false" customHeight="false" outlineLevel="0" collapsed="false">
      <c r="A46" s="4" t="s">
        <v>48</v>
      </c>
      <c r="B46" s="3" t="n">
        <v>28950</v>
      </c>
      <c r="C46" s="3" t="n">
        <v>192613</v>
      </c>
      <c r="D46" s="3" t="n">
        <v>221563</v>
      </c>
      <c r="E46" s="3" t="n">
        <v>6836</v>
      </c>
      <c r="F46" s="3" t="n">
        <v>21046</v>
      </c>
      <c r="G46" s="3" t="n">
        <v>27882</v>
      </c>
    </row>
    <row r="47" customFormat="false" ht="14.65" hidden="false" customHeight="false" outlineLevel="0" collapsed="false">
      <c r="A47" s="5" t="s">
        <v>49</v>
      </c>
      <c r="B47" s="3" t="n">
        <v>57895</v>
      </c>
      <c r="C47" s="3" t="n">
        <v>349081</v>
      </c>
      <c r="D47" s="3" t="n">
        <v>406976</v>
      </c>
      <c r="E47" s="3" t="n">
        <v>85</v>
      </c>
      <c r="F47" s="3" t="n">
        <v>127093</v>
      </c>
      <c r="G47" s="3" t="n">
        <v>127178</v>
      </c>
    </row>
    <row r="48" customFormat="false" ht="14.65" hidden="false" customHeight="false" outlineLevel="0" collapsed="false">
      <c r="A48" s="4" t="s">
        <v>50</v>
      </c>
      <c r="B48" s="3" t="n">
        <v>30944</v>
      </c>
      <c r="C48" s="3" t="n">
        <v>158107</v>
      </c>
      <c r="D48" s="3" t="n">
        <v>189051</v>
      </c>
      <c r="E48" s="3" t="n">
        <v>5736</v>
      </c>
      <c r="F48" s="3" t="n">
        <v>26117</v>
      </c>
      <c r="G48" s="3" t="n">
        <v>31853</v>
      </c>
    </row>
    <row r="49" customFormat="false" ht="14.65" hidden="false" customHeight="false" outlineLevel="0" collapsed="false">
      <c r="A49" s="4" t="s">
        <v>51</v>
      </c>
      <c r="B49" s="3" t="n">
        <v>116711</v>
      </c>
      <c r="C49" s="3" t="n">
        <v>452567</v>
      </c>
      <c r="D49" s="3" t="n">
        <v>569278</v>
      </c>
      <c r="E49" s="3" t="n">
        <v>45013</v>
      </c>
      <c r="F49" s="3" t="n">
        <v>135034</v>
      </c>
      <c r="G49" s="3" t="n">
        <v>180047</v>
      </c>
    </row>
    <row r="50" customFormat="false" ht="14.65" hidden="false" customHeight="false" outlineLevel="0" collapsed="false">
      <c r="A50" s="4" t="s">
        <v>52</v>
      </c>
      <c r="B50" s="3" t="n">
        <v>456383</v>
      </c>
      <c r="C50" s="3" t="n">
        <v>1522429</v>
      </c>
      <c r="D50" s="3" t="n">
        <v>1978812</v>
      </c>
      <c r="E50" s="3" t="n">
        <v>196686</v>
      </c>
      <c r="F50" s="3" t="n">
        <v>463108</v>
      </c>
      <c r="G50" s="3" t="n">
        <v>659794</v>
      </c>
    </row>
    <row r="51" customFormat="false" ht="14.65" hidden="false" customHeight="false" outlineLevel="0" collapsed="false">
      <c r="A51" s="5" t="s">
        <v>53</v>
      </c>
      <c r="B51" s="3" t="n">
        <v>83487</v>
      </c>
      <c r="C51" s="3" t="n">
        <v>147507</v>
      </c>
      <c r="D51" s="3" t="n">
        <v>230994</v>
      </c>
      <c r="E51" s="3" t="n">
        <v>25800</v>
      </c>
      <c r="F51" s="3" t="n">
        <v>31700</v>
      </c>
      <c r="G51" s="3" t="n">
        <v>57500</v>
      </c>
    </row>
    <row r="52" customFormat="false" ht="14.65" hidden="false" customHeight="false" outlineLevel="0" collapsed="false">
      <c r="A52" s="4" t="s">
        <v>54</v>
      </c>
      <c r="B52" s="3" t="n">
        <v>14751</v>
      </c>
      <c r="C52" s="3" t="n">
        <v>95111</v>
      </c>
      <c r="D52" s="3" t="n">
        <v>109862</v>
      </c>
      <c r="E52" s="3" t="n">
        <v>1627</v>
      </c>
      <c r="F52" s="3" t="n">
        <v>8121</v>
      </c>
      <c r="G52" s="3" t="n">
        <v>9748</v>
      </c>
    </row>
    <row r="53" customFormat="false" ht="14.65" hidden="false" customHeight="false" outlineLevel="0" collapsed="false">
      <c r="A53" s="4" t="s">
        <v>55</v>
      </c>
      <c r="B53" s="3" t="n">
        <v>106329</v>
      </c>
      <c r="C53" s="3" t="n">
        <v>519437</v>
      </c>
      <c r="D53" s="3" t="n">
        <v>625766</v>
      </c>
      <c r="E53" s="3" t="n">
        <v>100402</v>
      </c>
      <c r="F53" s="3" t="n">
        <v>328785</v>
      </c>
      <c r="G53" s="3" t="n">
        <v>429187</v>
      </c>
    </row>
    <row r="54" customFormat="false" ht="14.65" hidden="false" customHeight="false" outlineLevel="0" collapsed="false">
      <c r="A54" s="4" t="s">
        <v>56</v>
      </c>
      <c r="B54" s="3" t="n">
        <v>248671</v>
      </c>
      <c r="C54" s="3" t="n">
        <v>427588</v>
      </c>
      <c r="D54" s="3" t="n">
        <v>676259</v>
      </c>
      <c r="E54" s="3" t="n">
        <v>16584</v>
      </c>
      <c r="F54" s="3" t="n">
        <v>47718</v>
      </c>
      <c r="G54" s="3" t="n">
        <v>64302</v>
      </c>
    </row>
    <row r="55" customFormat="false" ht="14.65" hidden="false" customHeight="false" outlineLevel="0" collapsed="false">
      <c r="A55" s="5" t="s">
        <v>57</v>
      </c>
      <c r="B55" s="3" t="n">
        <v>56170</v>
      </c>
      <c r="C55" s="3" t="n">
        <v>411269</v>
      </c>
      <c r="D55" s="3" t="n">
        <v>467439</v>
      </c>
      <c r="E55" s="3" t="n">
        <v>20419</v>
      </c>
      <c r="F55" s="3" t="n">
        <v>124596</v>
      </c>
      <c r="G55" s="3" t="n">
        <v>145015</v>
      </c>
    </row>
    <row r="56" customFormat="false" ht="14.65" hidden="false" customHeight="false" outlineLevel="0" collapsed="false">
      <c r="A56" s="4" t="s">
        <v>58</v>
      </c>
      <c r="B56" s="3" t="n">
        <v>63297</v>
      </c>
      <c r="C56" s="3" t="n">
        <v>586704</v>
      </c>
      <c r="D56" s="3" t="n">
        <v>650001</v>
      </c>
      <c r="E56" s="3" t="n">
        <v>6378</v>
      </c>
      <c r="F56" s="3" t="n">
        <v>67228</v>
      </c>
      <c r="G56" s="3" t="n">
        <v>73606</v>
      </c>
    </row>
    <row r="57" customFormat="false" ht="14.65" hidden="false" customHeight="false" outlineLevel="0" collapsed="false">
      <c r="A57" s="4" t="s">
        <v>59</v>
      </c>
      <c r="B57" s="3" t="n">
        <v>42453</v>
      </c>
      <c r="C57" s="3" t="n">
        <v>116333</v>
      </c>
      <c r="D57" s="3" t="n">
        <v>158786</v>
      </c>
      <c r="E57" s="3" t="n">
        <v>6606</v>
      </c>
      <c r="F57" s="3" t="n">
        <v>23520</v>
      </c>
      <c r="G57" s="3" t="n">
        <v>30126</v>
      </c>
    </row>
    <row r="58" customFormat="false" ht="14.65" hidden="false" customHeight="false" outlineLevel="0" collapsed="false">
      <c r="A58" s="5" t="s">
        <v>60</v>
      </c>
    </row>
    <row r="59" customFormat="false" ht="14.65" hidden="false" customHeight="false" outlineLevel="0" collapsed="false">
      <c r="A59" s="6" t="s">
        <v>61</v>
      </c>
      <c r="B59" s="3" t="n">
        <v>8440973</v>
      </c>
      <c r="C59" s="3" t="e">
        <f aca="false">#REF!</f>
        <v>#VALUE!</v>
      </c>
      <c r="D59" s="3" t="n">
        <v>28233871</v>
      </c>
      <c r="E59" s="3" t="n">
        <v>1242630</v>
      </c>
      <c r="F59" s="3" t="e">
        <f aca="false">#REF!</f>
        <v>#VALUE!</v>
      </c>
      <c r="G59" s="3" t="n">
        <v>6600276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 C2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3" t="s">
        <v>68</v>
      </c>
      <c r="B1" s="3" t="s">
        <v>79</v>
      </c>
      <c r="C1" s="3" t="s">
        <v>241</v>
      </c>
      <c r="F1" s="3" t="s">
        <v>80</v>
      </c>
      <c r="G1" s="3" t="s">
        <v>242</v>
      </c>
    </row>
    <row r="2" customFormat="false" ht="14.65" hidden="false" customHeight="false" outlineLevel="0" collapsed="false">
      <c r="A2" s="3" t="s">
        <v>8</v>
      </c>
      <c r="B2" s="3" t="n">
        <v>838159.732</v>
      </c>
      <c r="C2" s="3" t="n">
        <v>881513.898536862</v>
      </c>
      <c r="E2" s="3" t="s">
        <v>8</v>
      </c>
      <c r="F2" s="3" t="n">
        <v>287785</v>
      </c>
      <c r="G2" s="3" t="n">
        <v>347370.626117842</v>
      </c>
    </row>
    <row r="3" customFormat="false" ht="14.65" hidden="false" customHeight="false" outlineLevel="0" collapsed="false">
      <c r="A3" s="3" t="s">
        <v>9</v>
      </c>
      <c r="B3" s="3" t="n">
        <v>103604</v>
      </c>
      <c r="C3" s="3" t="n">
        <v>134812.025315494</v>
      </c>
      <c r="E3" s="3" t="s">
        <v>9</v>
      </c>
      <c r="F3" s="3" t="n">
        <v>103604</v>
      </c>
      <c r="G3" s="3" t="n">
        <v>25683.7952811081</v>
      </c>
    </row>
    <row r="4" customFormat="false" ht="14.65" hidden="false" customHeight="false" outlineLevel="0" collapsed="false">
      <c r="A4" s="3" t="s">
        <v>10</v>
      </c>
      <c r="B4" s="3" t="n">
        <v>718978.26</v>
      </c>
      <c r="C4" s="3" t="n">
        <v>643881.582523385</v>
      </c>
      <c r="E4" s="3" t="s">
        <v>10</v>
      </c>
      <c r="F4" s="3" t="n">
        <v>217812</v>
      </c>
      <c r="G4" s="3" t="n">
        <v>218321.980698903</v>
      </c>
    </row>
    <row r="5" customFormat="false" ht="14.65" hidden="false" customHeight="false" outlineLevel="0" collapsed="false">
      <c r="A5" s="3" t="s">
        <v>11</v>
      </c>
      <c r="B5" s="3" t="n">
        <v>479553.448</v>
      </c>
      <c r="C5" s="3" t="n">
        <v>472258.63898235</v>
      </c>
      <c r="E5" s="3" t="s">
        <v>11</v>
      </c>
      <c r="F5" s="3" t="n">
        <v>181099</v>
      </c>
      <c r="G5" s="3" t="n">
        <v>176551.296582179</v>
      </c>
    </row>
    <row r="6" customFormat="false" ht="14.65" hidden="false" customHeight="false" outlineLevel="0" collapsed="false">
      <c r="A6" s="3" t="s">
        <v>12</v>
      </c>
      <c r="B6" s="3" t="n">
        <v>5321960.964</v>
      </c>
      <c r="C6" s="3" t="n">
        <v>4425388.92899159</v>
      </c>
      <c r="E6" s="3" t="s">
        <v>12</v>
      </c>
      <c r="F6" s="3" t="n">
        <v>2571927</v>
      </c>
      <c r="G6" s="3" t="n">
        <v>1891712.4135725</v>
      </c>
    </row>
    <row r="7" customFormat="false" ht="14.65" hidden="false" customHeight="false" outlineLevel="0" collapsed="false">
      <c r="A7" s="3" t="s">
        <v>13</v>
      </c>
      <c r="B7" s="3" t="n">
        <v>688811.57</v>
      </c>
      <c r="C7" s="3" t="n">
        <v>663399.430388643</v>
      </c>
      <c r="E7" s="3" t="s">
        <v>13</v>
      </c>
      <c r="F7" s="3" t="n">
        <v>274625</v>
      </c>
      <c r="G7" s="3" t="n">
        <v>264118.462061716</v>
      </c>
    </row>
    <row r="8" customFormat="false" ht="14.65" hidden="false" customHeight="false" outlineLevel="0" collapsed="false">
      <c r="A8" s="3" t="s">
        <v>14</v>
      </c>
      <c r="B8" s="3" t="n">
        <v>589285.678</v>
      </c>
      <c r="C8" s="3" t="n">
        <v>611174.370161849</v>
      </c>
      <c r="E8" s="3" t="s">
        <v>14</v>
      </c>
      <c r="F8" s="3" t="n">
        <v>142057</v>
      </c>
      <c r="G8" s="3" t="n">
        <v>198049.691516518</v>
      </c>
    </row>
    <row r="9" customFormat="false" ht="14.65" hidden="false" customHeight="false" outlineLevel="0" collapsed="false">
      <c r="A9" s="3" t="s">
        <v>15</v>
      </c>
      <c r="B9" s="3" t="n">
        <v>241810.132</v>
      </c>
      <c r="C9" s="3" t="n">
        <v>140883.489343661</v>
      </c>
      <c r="E9" s="3" t="s">
        <v>15</v>
      </c>
      <c r="F9" s="3" t="n">
        <v>116311</v>
      </c>
      <c r="G9" s="3" t="n">
        <v>45320.6502320694</v>
      </c>
    </row>
    <row r="10" customFormat="false" ht="14.65" hidden="false" customHeight="false" outlineLevel="0" collapsed="false">
      <c r="A10" s="3" t="s">
        <v>16</v>
      </c>
      <c r="B10" s="3" t="n">
        <v>47669</v>
      </c>
      <c r="C10" s="3" t="n">
        <v>72760.7321577327</v>
      </c>
      <c r="E10" s="3" t="s">
        <v>16</v>
      </c>
      <c r="F10" s="3" t="n">
        <v>47669</v>
      </c>
      <c r="G10" s="3" t="n">
        <v>17107.0503705828</v>
      </c>
    </row>
    <row r="11" customFormat="false" ht="14.65" hidden="false" customHeight="false" outlineLevel="0" collapsed="false">
      <c r="A11" s="3" t="s">
        <v>17</v>
      </c>
      <c r="B11" s="3" t="n">
        <v>2132756.22</v>
      </c>
      <c r="C11" s="3" t="n">
        <v>1821068.83207458</v>
      </c>
      <c r="E11" s="3" t="s">
        <v>17</v>
      </c>
      <c r="F11" s="3" t="n">
        <v>897504</v>
      </c>
      <c r="G11" s="3" t="n">
        <v>857075.431609189</v>
      </c>
    </row>
    <row r="12" customFormat="false" ht="14.65" hidden="false" customHeight="false" outlineLevel="0" collapsed="false">
      <c r="A12" s="3" t="s">
        <v>18</v>
      </c>
      <c r="B12" s="3" t="n">
        <v>1113409.56</v>
      </c>
      <c r="C12" s="3" t="n">
        <v>1080117.42955311</v>
      </c>
      <c r="E12" s="3" t="s">
        <v>18</v>
      </c>
      <c r="F12" s="3" t="n">
        <v>404325</v>
      </c>
      <c r="G12" s="3" t="n">
        <v>493401.957939438</v>
      </c>
    </row>
    <row r="13" customFormat="false" ht="14.65" hidden="false" customHeight="false" outlineLevel="0" collapsed="false">
      <c r="A13" s="3" t="s">
        <v>19</v>
      </c>
      <c r="B13" s="3" t="n">
        <v>70059</v>
      </c>
      <c r="C13" s="3" t="n">
        <v>123555.589680717</v>
      </c>
      <c r="E13" s="3" t="s">
        <v>19</v>
      </c>
      <c r="F13" s="3" t="n">
        <v>70059</v>
      </c>
      <c r="G13" s="3" t="n">
        <v>32307.0988765933</v>
      </c>
    </row>
    <row r="14" customFormat="false" ht="14.65" hidden="false" customHeight="false" outlineLevel="0" collapsed="false">
      <c r="A14" s="3" t="s">
        <v>21</v>
      </c>
      <c r="B14" s="3" t="n">
        <v>269425.34</v>
      </c>
      <c r="C14" s="3" t="n">
        <v>250721.106862923</v>
      </c>
      <c r="E14" s="3" t="s">
        <v>21</v>
      </c>
      <c r="F14" s="3" t="n">
        <v>79784</v>
      </c>
      <c r="G14" s="3" t="n">
        <v>72335.3862337405</v>
      </c>
    </row>
    <row r="15" customFormat="false" ht="14.65" hidden="false" customHeight="false" outlineLevel="0" collapsed="false">
      <c r="A15" s="3" t="s">
        <v>22</v>
      </c>
      <c r="B15" s="3" t="n">
        <v>2494676.878</v>
      </c>
      <c r="C15" s="3" t="n">
        <v>1930281.17814765</v>
      </c>
      <c r="E15" s="3" t="s">
        <v>22</v>
      </c>
      <c r="F15" s="3" t="n">
        <v>643432</v>
      </c>
      <c r="G15" s="3" t="n">
        <v>722687.303549194</v>
      </c>
    </row>
    <row r="16" customFormat="false" ht="14.65" hidden="false" customHeight="false" outlineLevel="0" collapsed="false">
      <c r="A16" s="3" t="s">
        <v>23</v>
      </c>
      <c r="B16" s="3" t="n">
        <v>1102127.36</v>
      </c>
      <c r="C16" s="3" t="n">
        <v>1074752.7044929</v>
      </c>
      <c r="E16" s="3" t="s">
        <v>23</v>
      </c>
      <c r="F16" s="3" t="n">
        <v>427163</v>
      </c>
      <c r="G16" s="3" t="n">
        <v>425576.571614933</v>
      </c>
    </row>
    <row r="17" customFormat="false" ht="14.65" hidden="false" customHeight="false" outlineLevel="0" collapsed="false">
      <c r="A17" s="3" t="s">
        <v>24</v>
      </c>
      <c r="B17" s="3" t="n">
        <v>884553.28</v>
      </c>
      <c r="C17" s="3" t="n">
        <v>575051.748780226</v>
      </c>
      <c r="E17" s="3" t="s">
        <v>24</v>
      </c>
      <c r="F17" s="3" t="n">
        <v>220813</v>
      </c>
      <c r="G17" s="3" t="n">
        <v>203385.361054367</v>
      </c>
    </row>
    <row r="18" customFormat="false" ht="14.65" hidden="false" customHeight="false" outlineLevel="0" collapsed="false">
      <c r="A18" s="3" t="s">
        <v>25</v>
      </c>
      <c r="B18" s="3" t="n">
        <v>1030789.71</v>
      </c>
      <c r="C18" s="3" t="n">
        <v>549123.903764134</v>
      </c>
      <c r="E18" s="3" t="s">
        <v>25</v>
      </c>
      <c r="F18" s="3" t="n">
        <v>547758</v>
      </c>
      <c r="G18" s="3" t="n">
        <v>184929.45534213</v>
      </c>
    </row>
    <row r="19" customFormat="false" ht="14.65" hidden="false" customHeight="false" outlineLevel="0" collapsed="false">
      <c r="A19" s="3" t="s">
        <v>26</v>
      </c>
      <c r="B19" s="3" t="n">
        <v>0</v>
      </c>
      <c r="C19" s="3" t="n">
        <v>0</v>
      </c>
      <c r="E19" s="3" t="s">
        <v>26</v>
      </c>
      <c r="F19" s="3" t="n">
        <v>0</v>
      </c>
      <c r="G19" s="3" t="n">
        <v>0</v>
      </c>
    </row>
    <row r="20" customFormat="false" ht="14.65" hidden="false" customHeight="false" outlineLevel="0" collapsed="false">
      <c r="A20" s="3" t="s">
        <v>27</v>
      </c>
      <c r="B20" s="3" t="n">
        <v>1243192.932</v>
      </c>
      <c r="C20" s="3" t="n">
        <v>739096.432908557</v>
      </c>
      <c r="E20" s="3" t="s">
        <v>27</v>
      </c>
      <c r="F20" s="3" t="n">
        <v>274125</v>
      </c>
      <c r="G20" s="3" t="n">
        <v>223391.022251628</v>
      </c>
    </row>
    <row r="21" customFormat="false" ht="14.65" hidden="false" customHeight="false" outlineLevel="0" collapsed="false">
      <c r="A21" s="3" t="s">
        <v>28</v>
      </c>
      <c r="B21" s="3" t="n">
        <v>293390.23</v>
      </c>
      <c r="C21" s="3" t="n">
        <v>246099.058447779</v>
      </c>
      <c r="E21" s="3" t="s">
        <v>28</v>
      </c>
      <c r="F21" s="3" t="n">
        <v>135964</v>
      </c>
      <c r="G21" s="3" t="n">
        <v>78096.0597193203</v>
      </c>
    </row>
    <row r="22" customFormat="false" ht="14.65" hidden="false" customHeight="false" outlineLevel="0" collapsed="false">
      <c r="A22" s="3" t="s">
        <v>29</v>
      </c>
      <c r="B22" s="3" t="n">
        <v>1041502.14</v>
      </c>
      <c r="C22" s="3" t="n">
        <v>711625.760768121</v>
      </c>
      <c r="E22" s="3" t="s">
        <v>29</v>
      </c>
      <c r="F22" s="3" t="n">
        <v>370725</v>
      </c>
      <c r="G22" s="3" t="n">
        <v>255442.585936409</v>
      </c>
    </row>
    <row r="23" customFormat="false" ht="14.65" hidden="false" customHeight="false" outlineLevel="0" collapsed="false">
      <c r="A23" s="3" t="s">
        <v>30</v>
      </c>
      <c r="B23" s="3" t="n">
        <v>0</v>
      </c>
      <c r="C23" s="3" t="n">
        <v>0</v>
      </c>
      <c r="E23" s="3" t="s">
        <v>30</v>
      </c>
      <c r="F23" s="3" t="n">
        <v>0</v>
      </c>
      <c r="G23" s="3" t="n">
        <v>0</v>
      </c>
    </row>
    <row r="24" customFormat="false" ht="14.65" hidden="false" customHeight="false" outlineLevel="0" collapsed="false">
      <c r="A24" s="3" t="s">
        <v>31</v>
      </c>
      <c r="B24" s="3" t="n">
        <v>1708469.162</v>
      </c>
      <c r="C24" s="3" t="n">
        <v>1785085.12253216</v>
      </c>
      <c r="E24" s="3" t="s">
        <v>31</v>
      </c>
      <c r="F24" s="3" t="n">
        <v>501791</v>
      </c>
      <c r="G24" s="3" t="n">
        <v>637566.48122105</v>
      </c>
    </row>
    <row r="25" customFormat="false" ht="14.65" hidden="false" customHeight="false" outlineLevel="0" collapsed="false">
      <c r="A25" s="3" t="s">
        <v>32</v>
      </c>
      <c r="B25" s="3" t="n">
        <v>1222271.538</v>
      </c>
      <c r="C25" s="3" t="n">
        <v>850297.755277479</v>
      </c>
      <c r="E25" s="3" t="s">
        <v>32</v>
      </c>
      <c r="F25" s="3" t="n">
        <v>425256</v>
      </c>
      <c r="G25" s="3" t="n">
        <v>335977.090976432</v>
      </c>
    </row>
    <row r="26" customFormat="false" ht="14.65" hidden="false" customHeight="false" outlineLevel="0" collapsed="false">
      <c r="A26" s="3" t="s">
        <v>33</v>
      </c>
      <c r="B26" s="3" t="n">
        <v>550037.388</v>
      </c>
      <c r="C26" s="3" t="n">
        <v>460551.682296221</v>
      </c>
      <c r="E26" s="3" t="s">
        <v>33</v>
      </c>
      <c r="F26" s="3" t="n">
        <v>135813</v>
      </c>
      <c r="G26" s="3" t="n">
        <v>181606.956995493</v>
      </c>
    </row>
    <row r="27" customFormat="false" ht="14.65" hidden="false" customHeight="false" outlineLevel="0" collapsed="false">
      <c r="A27" s="3" t="s">
        <v>34</v>
      </c>
      <c r="B27" s="3" t="n">
        <v>1112379.19</v>
      </c>
      <c r="C27" s="3" t="n">
        <v>858085.758567996</v>
      </c>
      <c r="E27" s="3" t="s">
        <v>34</v>
      </c>
      <c r="F27" s="3" t="n">
        <v>457183</v>
      </c>
      <c r="G27" s="3" t="n">
        <v>399719.23676272</v>
      </c>
    </row>
    <row r="28" customFormat="false" ht="14.65" hidden="false" customHeight="false" outlineLevel="0" collapsed="false">
      <c r="A28" s="3" t="s">
        <v>35</v>
      </c>
      <c r="B28" s="3" t="n">
        <v>312090.338</v>
      </c>
      <c r="C28" s="3" t="n">
        <v>229932.276680914</v>
      </c>
      <c r="E28" s="3" t="s">
        <v>35</v>
      </c>
      <c r="F28" s="3" t="n">
        <v>54668</v>
      </c>
      <c r="G28" s="3" t="n">
        <v>63267.0720874331</v>
      </c>
    </row>
    <row r="29" customFormat="false" ht="14.65" hidden="false" customHeight="false" outlineLevel="0" collapsed="false">
      <c r="A29" s="3" t="s">
        <v>36</v>
      </c>
      <c r="B29" s="3" t="n">
        <v>464939.45</v>
      </c>
      <c r="C29" s="3" t="n">
        <v>367071.299085674</v>
      </c>
      <c r="E29" s="3" t="s">
        <v>36</v>
      </c>
      <c r="F29" s="3" t="n">
        <v>123281</v>
      </c>
      <c r="G29" s="3" t="n">
        <v>112055.5271858</v>
      </c>
    </row>
    <row r="30" customFormat="false" ht="14.65" hidden="false" customHeight="false" outlineLevel="0" collapsed="false">
      <c r="A30" s="3" t="s">
        <v>37</v>
      </c>
      <c r="B30" s="3" t="n">
        <v>0</v>
      </c>
      <c r="C30" s="3" t="n">
        <v>0</v>
      </c>
      <c r="E30" s="3" t="s">
        <v>37</v>
      </c>
      <c r="F30" s="3" t="n">
        <v>0</v>
      </c>
      <c r="G30" s="3" t="n">
        <v>0</v>
      </c>
    </row>
    <row r="31" customFormat="false" ht="14.65" hidden="false" customHeight="false" outlineLevel="0" collapsed="false">
      <c r="A31" s="3" t="s">
        <v>38</v>
      </c>
      <c r="B31" s="3" t="n">
        <v>348865.622</v>
      </c>
      <c r="C31" s="3" t="n">
        <v>197956.549161395</v>
      </c>
      <c r="E31" s="3" t="s">
        <v>38</v>
      </c>
      <c r="F31" s="3" t="n">
        <v>200435</v>
      </c>
      <c r="G31" s="3" t="n">
        <v>58698.9276689407</v>
      </c>
    </row>
    <row r="32" customFormat="false" ht="14.65" hidden="false" customHeight="false" outlineLevel="0" collapsed="false">
      <c r="A32" s="3" t="s">
        <v>39</v>
      </c>
      <c r="B32" s="3" t="n">
        <v>1748217.6</v>
      </c>
      <c r="C32" s="3" t="n">
        <v>1168358.36829177</v>
      </c>
      <c r="E32" s="3" t="s">
        <v>39</v>
      </c>
      <c r="F32" s="3" t="n">
        <v>832923</v>
      </c>
      <c r="G32" s="3" t="n">
        <v>435311.79434255</v>
      </c>
    </row>
    <row r="33" customFormat="false" ht="14.65" hidden="false" customHeight="false" outlineLevel="0" collapsed="false">
      <c r="A33" s="3" t="s">
        <v>40</v>
      </c>
      <c r="B33" s="3" t="n">
        <v>404863.224</v>
      </c>
      <c r="C33" s="3" t="n">
        <v>398410.02541026</v>
      </c>
      <c r="E33" s="3" t="s">
        <v>40</v>
      </c>
      <c r="F33" s="3" t="n">
        <v>144159</v>
      </c>
      <c r="G33" s="3" t="n">
        <v>146668.202079107</v>
      </c>
    </row>
    <row r="34" customFormat="false" ht="14.65" hidden="false" customHeight="false" outlineLevel="0" collapsed="false">
      <c r="A34" s="3" t="s">
        <v>41</v>
      </c>
      <c r="B34" s="3" t="n">
        <v>3679098.456</v>
      </c>
      <c r="C34" s="3" t="n">
        <v>2593031.36178964</v>
      </c>
      <c r="E34" s="3" t="s">
        <v>41</v>
      </c>
      <c r="F34" s="3" t="n">
        <v>1187382</v>
      </c>
      <c r="G34" s="3" t="n">
        <v>878726.554549205</v>
      </c>
    </row>
    <row r="35" customFormat="false" ht="14.65" hidden="false" customHeight="false" outlineLevel="0" collapsed="false">
      <c r="A35" s="3" t="s">
        <v>42</v>
      </c>
      <c r="B35" s="3" t="n">
        <v>1304284.15</v>
      </c>
      <c r="C35" s="3" t="n">
        <v>966157.750903315</v>
      </c>
      <c r="E35" s="3" t="s">
        <v>42</v>
      </c>
      <c r="F35" s="3" t="n">
        <v>714964</v>
      </c>
      <c r="G35" s="3" t="n">
        <v>489951.545372287</v>
      </c>
    </row>
    <row r="36" customFormat="false" ht="14.65" hidden="false" customHeight="false" outlineLevel="0" collapsed="false">
      <c r="A36" s="3" t="s">
        <v>43</v>
      </c>
      <c r="B36" s="3" t="n">
        <v>259286.74</v>
      </c>
      <c r="C36" s="3" t="n">
        <v>180291.734010651</v>
      </c>
      <c r="E36" s="3" t="s">
        <v>43</v>
      </c>
      <c r="F36" s="3" t="n">
        <v>65896</v>
      </c>
      <c r="G36" s="3" t="n">
        <v>49060.3613693294</v>
      </c>
    </row>
    <row r="37" customFormat="false" ht="14.65" hidden="false" customHeight="false" outlineLevel="0" collapsed="false">
      <c r="A37" s="3" t="s">
        <v>44</v>
      </c>
      <c r="B37" s="3" t="n">
        <v>2414702.53</v>
      </c>
      <c r="C37" s="3" t="n">
        <v>1636116.31542205</v>
      </c>
      <c r="E37" s="3" t="s">
        <v>44</v>
      </c>
      <c r="F37" s="3" t="n">
        <v>947827</v>
      </c>
      <c r="G37" s="3" t="n">
        <v>728014.228802221</v>
      </c>
    </row>
    <row r="38" customFormat="false" ht="14.65" hidden="false" customHeight="false" outlineLevel="0" collapsed="false">
      <c r="A38" s="3" t="s">
        <v>45</v>
      </c>
      <c r="B38" s="3" t="n">
        <v>732255.964</v>
      </c>
      <c r="C38" s="3" t="n">
        <v>675634.855707051</v>
      </c>
      <c r="E38" s="3" t="s">
        <v>45</v>
      </c>
      <c r="F38" s="3" t="n">
        <v>318259</v>
      </c>
      <c r="G38" s="3" t="n">
        <v>248499.619296201</v>
      </c>
    </row>
    <row r="39" customFormat="false" ht="14.65" hidden="false" customHeight="false" outlineLevel="0" collapsed="false">
      <c r="A39" s="3" t="s">
        <v>46</v>
      </c>
      <c r="B39" s="3" t="n">
        <v>697221.478</v>
      </c>
      <c r="C39" s="3" t="n">
        <v>674138.632373655</v>
      </c>
      <c r="E39" s="3" t="s">
        <v>46</v>
      </c>
      <c r="F39" s="3" t="n">
        <v>274651</v>
      </c>
      <c r="G39" s="3" t="n">
        <v>204296.644036838</v>
      </c>
    </row>
    <row r="40" customFormat="false" ht="14.65" hidden="false" customHeight="false" outlineLevel="0" collapsed="false">
      <c r="A40" s="3" t="s">
        <v>47</v>
      </c>
      <c r="B40" s="3" t="n">
        <v>2674559.19</v>
      </c>
      <c r="C40" s="3" t="n">
        <v>1944466.49078365</v>
      </c>
      <c r="E40" s="3" t="s">
        <v>47</v>
      </c>
      <c r="F40" s="3" t="n">
        <v>1120473</v>
      </c>
      <c r="G40" s="3" t="n">
        <v>718430.2087605</v>
      </c>
    </row>
    <row r="41" customFormat="false" ht="14.65" hidden="false" customHeight="false" outlineLevel="0" collapsed="false">
      <c r="A41" s="3" t="s">
        <v>48</v>
      </c>
      <c r="B41" s="3" t="n">
        <v>192876.138</v>
      </c>
      <c r="C41" s="3" t="n">
        <v>192367.150479023</v>
      </c>
      <c r="E41" s="3" t="s">
        <v>48</v>
      </c>
      <c r="F41" s="3" t="n">
        <v>65703</v>
      </c>
      <c r="G41" s="3" t="n">
        <v>53552.3895449047</v>
      </c>
    </row>
    <row r="42" customFormat="false" ht="14.65" hidden="false" customHeight="false" outlineLevel="0" collapsed="false">
      <c r="A42" s="3" t="s">
        <v>49</v>
      </c>
      <c r="B42" s="3" t="n">
        <v>538620.01</v>
      </c>
      <c r="C42" s="3" t="n">
        <v>552938.139271981</v>
      </c>
      <c r="E42" s="3" t="s">
        <v>49</v>
      </c>
      <c r="F42" s="3" t="n">
        <v>266278</v>
      </c>
      <c r="G42" s="3" t="n">
        <v>257050.224160353</v>
      </c>
    </row>
    <row r="43" customFormat="false" ht="14.65" hidden="false" customHeight="false" outlineLevel="0" collapsed="false">
      <c r="A43" s="3" t="s">
        <v>50</v>
      </c>
      <c r="B43" s="3" t="n">
        <v>287239.62</v>
      </c>
      <c r="C43" s="3" t="n">
        <v>190552.134804495</v>
      </c>
      <c r="E43" s="3" t="s">
        <v>50</v>
      </c>
      <c r="F43" s="3" t="n">
        <v>83892</v>
      </c>
      <c r="G43" s="3" t="n">
        <v>59982.5667937487</v>
      </c>
    </row>
    <row r="44" customFormat="false" ht="14.65" hidden="false" customHeight="false" outlineLevel="0" collapsed="false">
      <c r="A44" s="3" t="s">
        <v>51</v>
      </c>
      <c r="B44" s="3" t="n">
        <v>956715.94</v>
      </c>
      <c r="C44" s="3" t="n">
        <v>769924.716570436</v>
      </c>
      <c r="E44" s="3" t="s">
        <v>51</v>
      </c>
      <c r="F44" s="3" t="n">
        <v>323422</v>
      </c>
      <c r="G44" s="3" t="n">
        <v>348301.325844003</v>
      </c>
    </row>
    <row r="45" customFormat="false" ht="14.65" hidden="false" customHeight="false" outlineLevel="0" collapsed="false">
      <c r="A45" s="3" t="s">
        <v>52</v>
      </c>
      <c r="B45" s="3" t="n">
        <v>4206402.996</v>
      </c>
      <c r="C45" s="3" t="n">
        <v>2592128.32838554</v>
      </c>
      <c r="E45" s="3" t="s">
        <v>52</v>
      </c>
      <c r="F45" s="3" t="n">
        <v>1937217</v>
      </c>
      <c r="G45" s="3" t="n">
        <v>1144072.28732436</v>
      </c>
    </row>
    <row r="46" customFormat="false" ht="14.65" hidden="false" customHeight="false" outlineLevel="0" collapsed="false">
      <c r="A46" s="3" t="s">
        <v>53</v>
      </c>
      <c r="B46" s="3" t="n">
        <v>378172.36</v>
      </c>
      <c r="C46" s="3" t="n">
        <v>288850.026129854</v>
      </c>
      <c r="E46" s="3" t="s">
        <v>53</v>
      </c>
      <c r="F46" s="3" t="n">
        <v>132076</v>
      </c>
      <c r="G46" s="3" t="n">
        <v>109268.932667913</v>
      </c>
    </row>
    <row r="47" customFormat="false" ht="14.65" hidden="false" customHeight="false" outlineLevel="0" collapsed="false">
      <c r="A47" s="3" t="s">
        <v>54</v>
      </c>
      <c r="B47" s="3" t="n">
        <v>158338.898</v>
      </c>
      <c r="C47" s="3" t="n">
        <v>135031.486835952</v>
      </c>
      <c r="E47" s="3" t="s">
        <v>54</v>
      </c>
      <c r="F47" s="3" t="n">
        <v>45887</v>
      </c>
      <c r="G47" s="3" t="n">
        <v>40224.2747398911</v>
      </c>
    </row>
    <row r="48" customFormat="false" ht="14.65" hidden="false" customHeight="false" outlineLevel="0" collapsed="false">
      <c r="A48" s="3" t="s">
        <v>55</v>
      </c>
      <c r="B48" s="3" t="n">
        <v>1591538.04</v>
      </c>
      <c r="C48" s="3" t="n">
        <v>1022377.50918395</v>
      </c>
      <c r="E48" s="3" t="s">
        <v>55</v>
      </c>
      <c r="F48" s="3" t="n">
        <v>740430</v>
      </c>
      <c r="G48" s="3" t="n">
        <v>446983.885313884</v>
      </c>
    </row>
    <row r="49" customFormat="false" ht="14.65" hidden="false" customHeight="false" outlineLevel="0" collapsed="false">
      <c r="A49" s="3" t="s">
        <v>56</v>
      </c>
      <c r="B49" s="3" t="n">
        <v>1227056.05</v>
      </c>
      <c r="C49" s="3" t="n">
        <v>1011540.38431155</v>
      </c>
      <c r="E49" s="3" t="s">
        <v>56</v>
      </c>
      <c r="F49" s="3" t="n">
        <v>476665</v>
      </c>
      <c r="G49" s="3" t="n">
        <v>337523.921028047</v>
      </c>
    </row>
    <row r="50" customFormat="false" ht="14.65" hidden="false" customHeight="false" outlineLevel="0" collapsed="false">
      <c r="A50" s="3" t="s">
        <v>57</v>
      </c>
      <c r="B50" s="3" t="n">
        <v>700326.254</v>
      </c>
      <c r="C50" s="3" t="n">
        <v>359180.036594688</v>
      </c>
      <c r="E50" s="3" t="s">
        <v>57</v>
      </c>
      <c r="F50" s="3" t="n">
        <v>214790</v>
      </c>
      <c r="G50" s="3" t="n">
        <v>124896.580941482</v>
      </c>
    </row>
    <row r="51" customFormat="false" ht="14.65" hidden="false" customHeight="false" outlineLevel="0" collapsed="false">
      <c r="A51" s="3" t="s">
        <v>58</v>
      </c>
      <c r="B51" s="3" t="n">
        <v>1141937.082</v>
      </c>
      <c r="C51" s="3" t="n">
        <v>896127.856124004</v>
      </c>
      <c r="E51" s="3" t="s">
        <v>58</v>
      </c>
      <c r="F51" s="3" t="n">
        <v>463281</v>
      </c>
      <c r="G51" s="3" t="n">
        <v>419435.922261597</v>
      </c>
    </row>
    <row r="52" customFormat="false" ht="14.65" hidden="false" customHeight="false" outlineLevel="0" collapsed="false">
      <c r="A52" s="3" t="s">
        <v>59</v>
      </c>
      <c r="B52" s="3" t="n">
        <v>303554.8</v>
      </c>
      <c r="C52" s="3" t="n">
        <v>163048.439339805</v>
      </c>
      <c r="E52" s="3" t="s">
        <v>59</v>
      </c>
      <c r="F52" s="3" t="n">
        <v>78544</v>
      </c>
      <c r="G52" s="3" t="n">
        <v>43433.4978084538</v>
      </c>
    </row>
    <row r="53" customFormat="false" ht="14.65" hidden="false" customHeight="false" outlineLevel="0" collapsed="false">
      <c r="B53" s="3" t="e">
        <f aca="false">NA()</f>
        <v>#N/A</v>
      </c>
      <c r="C53" s="3" t="e">
        <f aca="false">#REF!</f>
        <v>#VALUE!</v>
      </c>
      <c r="F53" s="3" t="n">
        <v>0</v>
      </c>
      <c r="G53" s="3" t="e">
        <f aca="false">#REF!</f>
        <v>#VALUE!</v>
      </c>
    </row>
    <row r="54" customFormat="false" ht="14.65" hidden="false" customHeight="false" outlineLevel="0" collapsed="false">
      <c r="A54" s="3" t="s">
        <v>61</v>
      </c>
      <c r="B54" s="3" t="n">
        <v>59065592.456</v>
      </c>
      <c r="C54" s="3" t="e">
        <f aca="false">#REF!</f>
        <v>#VALUE!</v>
      </c>
      <c r="F54" s="3" t="n">
        <v>20984828</v>
      </c>
      <c r="G54" s="3" t="e">
        <f aca="false">#REF!</f>
        <v>#VALUE!</v>
      </c>
    </row>
    <row r="55" customFormat="false" ht="14.65" hidden="false" customHeight="false" outlineLevel="0" collapsed="false">
      <c r="A55" s="3" t="s">
        <v>81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selection pane="topLeft" activeCell="B56" activeCellId="0" sqref="B56:E56 B56:E56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2" min="2" style="3" width="13.14"/>
    <col collapsed="false" customWidth="true" hidden="false" outlineLevel="0" max="7" min="5" style="15" width="10.71"/>
    <col collapsed="false" customWidth="true" hidden="false" outlineLevel="0" max="14" min="14" style="3" width="15.28"/>
  </cols>
  <sheetData>
    <row r="1" customFormat="false" ht="14.65" hidden="false" customHeight="false" outlineLevel="0" collapsed="false">
      <c r="A1" s="1" t="s">
        <v>68</v>
      </c>
      <c r="B1" s="20" t="s">
        <v>243</v>
      </c>
      <c r="C1" s="20" t="s">
        <v>244</v>
      </c>
      <c r="D1" s="20" t="s">
        <v>245</v>
      </c>
      <c r="E1" s="21" t="s">
        <v>246</v>
      </c>
      <c r="F1" s="21"/>
      <c r="G1" s="1" t="s">
        <v>68</v>
      </c>
      <c r="H1" s="20" t="s">
        <v>247</v>
      </c>
      <c r="I1" s="20" t="s">
        <v>248</v>
      </c>
      <c r="J1" s="20" t="s">
        <v>249</v>
      </c>
      <c r="K1" s="20" t="s">
        <v>250</v>
      </c>
      <c r="L1" s="3" t="s">
        <v>79</v>
      </c>
      <c r="M1" s="3" t="s">
        <v>80</v>
      </c>
      <c r="N1" s="3" t="s">
        <v>251</v>
      </c>
      <c r="O1" s="3" t="s">
        <v>252</v>
      </c>
      <c r="P1" s="3" t="s">
        <v>253</v>
      </c>
      <c r="Q1" s="3" t="s">
        <v>254</v>
      </c>
      <c r="R1" s="3" t="s">
        <v>255</v>
      </c>
      <c r="S1" s="2" t="s">
        <v>83</v>
      </c>
      <c r="T1" s="3" t="s">
        <v>256</v>
      </c>
      <c r="U1" s="3" t="s">
        <v>257</v>
      </c>
      <c r="V1" s="3" t="s">
        <v>258</v>
      </c>
      <c r="W1" s="3" t="s">
        <v>259</v>
      </c>
    </row>
    <row r="2" customFormat="false" ht="14.65" hidden="false" customHeight="false" outlineLevel="0" collapsed="false">
      <c r="A2" s="4" t="s">
        <v>8</v>
      </c>
      <c r="B2" s="22" t="n">
        <f aca="false">79221*($R2^1.83)*($S2^0.786)*($T2^0.00492)*0.439*($U2^-0.561)*($V2^0.225)*($W2^0.179)/1000</f>
        <v>0.0168098470889537</v>
      </c>
      <c r="C2" s="22" t="n">
        <f aca="false">79221*($R2^1.83)*($S2^0.786)*($T2^0.00492)*($U2^0.439)*0.225*($V2^-0.775)*($W2^0.179)/1000</f>
        <v>0.0355648653532836</v>
      </c>
      <c r="D2" s="22" t="n">
        <f aca="false">79221*($R2^1.83)*($S2^0.786)*($T2^0.00492)*($U2^0.439)*($V2^0.225)*0.179*($W2^-0.821)/1000</f>
        <v>0.0220343068688748</v>
      </c>
      <c r="E2" s="23" t="n">
        <f aca="false">(C2*V2+D2*W2)/(V2+W2)</f>
        <v>0.0279581601789007</v>
      </c>
      <c r="F2" s="23"/>
      <c r="G2" s="4" t="s">
        <v>8</v>
      </c>
      <c r="H2" s="22" t="n">
        <f aca="false">73.99*($P2^0.126)*($Q2^-0.326)*($R2^0.473)*($S2^0.605)*($T2^-0.0271)*0.685*($U2^-0.315)*($V2^0.00271)*($W2^0.193)/1000</f>
        <v>0.00807677623438796</v>
      </c>
      <c r="I2" s="22" t="n">
        <f aca="false">73.99*($P2^0.126)*($Q2^-0.326)*($R2^0.473)*($S2^0.605)*($T2^-0.0271)*($U2^0.685)*0.00271*($V2^-0.997)*($W2^0.193)/1000</f>
        <v>0.000132243305223805</v>
      </c>
      <c r="J2" s="22" t="n">
        <f aca="false">73.99*($P2^0.126)*($Q2^-0.326)*($R2^0.473)*($S2^0.605)*($T2^-0.0271)*($U2^0.685)*($V2^0.00271)*0.193*($W2^-0.803)/1000</f>
        <v>0.00758752792321856</v>
      </c>
      <c r="K2" s="22" t="n">
        <f aca="false">+(I2*V2+J2*W2)/(V2+W2)</f>
        <v>0.00432350800028758</v>
      </c>
      <c r="L2" s="16" t="n">
        <v>838159.732</v>
      </c>
      <c r="M2" s="16" t="n">
        <v>287785</v>
      </c>
      <c r="N2" s="16" t="n">
        <f aca="false">71682*($P2^0.183)*($Q2^-0.643)*($R2^1.92)*($S2^1.176)*($T2^0.0445)*($U2^0.45)*($V2^0.103)*($W2^0.149)</f>
        <v>881513.898536862</v>
      </c>
      <c r="O2" s="16" t="n">
        <f aca="false">73.99*($P2^0.126)*($Q2^-0.326)*($R2^0.473)*($S2^0.605)*($T2^-0.0271)*($U2^0.685)*($V2^0.00271)*($W2^0.193)</f>
        <v>347370.626117842</v>
      </c>
      <c r="P2" s="3" t="n">
        <v>92209</v>
      </c>
      <c r="Q2" s="3" t="n">
        <v>3.01088819203367</v>
      </c>
      <c r="R2" s="3" t="n">
        <v>0.0515</v>
      </c>
      <c r="S2" s="2" t="n">
        <v>0.921233519346634</v>
      </c>
      <c r="T2" s="3" t="n">
        <v>1.35513024986709</v>
      </c>
      <c r="U2" s="16" t="n">
        <v>29460.873</v>
      </c>
      <c r="V2" s="16" t="n">
        <v>7136.844</v>
      </c>
      <c r="W2" s="16" t="n">
        <v>9164.283</v>
      </c>
    </row>
    <row r="3" customFormat="false" ht="14.65" hidden="false" customHeight="false" outlineLevel="0" collapsed="false">
      <c r="A3" s="4" t="s">
        <v>9</v>
      </c>
      <c r="B3" s="22" t="n">
        <f aca="false">79221*($R3^1.83)*($S3^0.786)*($T3^0.00492)*0.439*($U3^-0.561)*($V3^0.225)*($W3^0.179)/1000</f>
        <v>0.0235453455679464</v>
      </c>
      <c r="C3" s="22" t="n">
        <f aca="false">79221*($R3^1.83)*($S3^0.786)*($T3^0.00492)*($U3^0.439)*0.225*($V3^-0.775)*($W3^0.179)/1000</f>
        <v>0.0311009046631058</v>
      </c>
      <c r="D3" s="22" t="n">
        <f aca="false">79221*($R3^1.83)*($S3^0.786)*($T3^0.00492)*($U3^0.439)*($V3^0.225)*0.179*($W3^-0.821)/1000</f>
        <v>0.428808680502335</v>
      </c>
      <c r="E3" s="23" t="n">
        <f aca="false">+(C3*V3+D3*W3)/(V3+W3)</f>
        <v>0.0527969868739119</v>
      </c>
      <c r="F3" s="23"/>
      <c r="G3" s="4" t="s">
        <v>9</v>
      </c>
      <c r="H3" s="22" t="n">
        <f aca="false">73.99*($P3^0.126)*($Q3^-0.326)*($R3^0.473)*($S3^0.605)*($T3^-0.0271)*0.685*($U3^-0.315)*($V3^0.00271)*($W3^0.193)/1000</f>
        <v>0.00646025024778811</v>
      </c>
      <c r="I3" s="22" t="n">
        <f aca="false">73.99*($P3^0.126)*($Q3^-0.326)*($R3^0.473)*($S3^0.605)*($T3^-0.0271)*($U3^0.685)*0.00271*($V3^-0.997)*($W3^0.193)/1000</f>
        <v>6.60016756692749E-005</v>
      </c>
      <c r="J3" s="22" t="n">
        <f aca="false">73.99*($P3^0.126)*($Q3^-0.326)*($R3^0.473)*($S3^0.605)*($T3^-0.0271)*($U3^0.685)*($V3^0.00271)*0.193*($W3^-0.803)/1000</f>
        <v>0.0826469040245236</v>
      </c>
      <c r="K3" s="22" t="n">
        <f aca="false">+(I3*V3+J3*W3)/(V3+W3)</f>
        <v>0.00457102308899858</v>
      </c>
      <c r="L3" s="16" t="n">
        <v>103604</v>
      </c>
      <c r="M3" s="16" t="n">
        <v>103604</v>
      </c>
      <c r="N3" s="16" t="n">
        <f aca="false">71682*(P3^0.183)*(Q3^-0.643)*(R3^1.92)*(S3^1.176)*(T3^0.0445)*(U3^0.45)*(V3^0.103)*(W3^0.149)</f>
        <v>134812.025315494</v>
      </c>
      <c r="O3" s="16" t="n">
        <f aca="false">73.99*(P3^0.126)*(Q3^-0.326)*(R3^0.473)*(S3^0.605)*(T3^-0.0271)*(U3^0.685)*(V3^0.00271)*(W3^0.193)</f>
        <v>25683.7952811081</v>
      </c>
      <c r="P3" s="3" t="n">
        <v>13849</v>
      </c>
      <c r="Q3" s="3" t="n">
        <v>3.08165671868817</v>
      </c>
      <c r="R3" s="3" t="n">
        <v>0.0515</v>
      </c>
      <c r="S3" s="2" t="n">
        <v>1.39661033340936</v>
      </c>
      <c r="T3" s="3" t="n">
        <v>1.69537480063796</v>
      </c>
      <c r="U3" s="16" t="n">
        <v>2723.331</v>
      </c>
      <c r="V3" s="16" t="n">
        <v>1056.697</v>
      </c>
      <c r="W3" s="16" t="n">
        <v>60.9720000000001</v>
      </c>
    </row>
    <row r="4" customFormat="false" ht="14.65" hidden="false" customHeight="false" outlineLevel="0" collapsed="false">
      <c r="A4" s="4" t="s">
        <v>10</v>
      </c>
      <c r="B4" s="22" t="n">
        <f aca="false">79221*($R4^1.83)*($S4^0.786)*($T4^0.00492)*0.439*($U4^-0.561)*($V4^0.225)*($W4^0.179)/1000</f>
        <v>0.0201029330147624</v>
      </c>
      <c r="C4" s="22" t="n">
        <f aca="false">79221*($R4^1.83)*($S4^0.786)*($T4^0.00492)*($U4^0.439)*0.225*($V4^-0.775)*($W4^0.179)/1000</f>
        <v>0.0197827747087641</v>
      </c>
      <c r="D4" s="22" t="n">
        <f aca="false">79221*($R4^1.83)*($S4^0.786)*($T4^0.00492)*($U4^0.439)*($V4^0.225)*0.179*($W4^-0.821)/1000</f>
        <v>0.0421977225203111</v>
      </c>
      <c r="E4" s="23" t="n">
        <f aca="false">+(C4*V4+D4*W4)/(V4+W4)</f>
        <v>0.0258717863077635</v>
      </c>
      <c r="F4" s="23"/>
      <c r="G4" s="4" t="s">
        <v>10</v>
      </c>
      <c r="H4" s="22" t="n">
        <f aca="false">73.99*($P4^0.126)*($Q4^-0.326)*($R4^0.473)*($S4^0.605)*($T4^-0.0271)*0.685*($U4^-0.315)*($V4^0.00271)*($W4^0.193)/1000</f>
        <v>0.00731845786395826</v>
      </c>
      <c r="I4" s="22" t="n">
        <f aca="false">73.99*($P4^0.126)*($Q4^-0.326)*($R4^0.473)*($S4^0.605)*($T4^-0.0271)*($U4^0.685)*0.00271*($V4^-0.997)*($W4^0.193)/1000</f>
        <v>5.57411500573878E-005</v>
      </c>
      <c r="J4" s="22" t="n">
        <f aca="false">73.99*($P4^0.126)*($Q4^-0.326)*($R4^0.473)*($S4^0.605)*($T4^-0.0271)*($U4^0.685)*($V4^0.00271)*0.193*($W4^-0.803)/1000</f>
        <v>0.0109729221878456</v>
      </c>
      <c r="K4" s="22" t="n">
        <f aca="false">+(I4*V4+J4*W4)/(V4+W4)</f>
        <v>0.00302138900818999</v>
      </c>
      <c r="L4" s="16" t="n">
        <v>718978.26</v>
      </c>
      <c r="M4" s="16" t="n">
        <v>217812</v>
      </c>
      <c r="N4" s="16" t="n">
        <f aca="false">71682*(P4^0.183)*(Q4^-0.643)*(R4^1.92)*(S4^1.176)*(T4^0.0445)*(U4^0.45)*(V4^0.103)*(W4^0.149)</f>
        <v>643881.582523385</v>
      </c>
      <c r="O4" s="16" t="n">
        <f aca="false">73.99*(P4^0.126)*(Q4^-0.326)*(R4^0.473)*(S4^0.605)*(T4^-0.0271)*(U4^0.685)*(V4^0.00271)*(W4^0.193)</f>
        <v>218321.980698903</v>
      </c>
      <c r="P4" s="3" t="n">
        <v>55763</v>
      </c>
      <c r="Q4" s="3" t="n">
        <v>3.02788347401141</v>
      </c>
      <c r="R4" s="3" t="n">
        <v>0.0525</v>
      </c>
      <c r="S4" s="2" t="n">
        <v>0.920018851529052</v>
      </c>
      <c r="T4" s="3" t="n">
        <v>1.19191919191919</v>
      </c>
      <c r="U4" s="16" t="n">
        <v>20434.709</v>
      </c>
      <c r="V4" s="16" t="n">
        <v>10642.868</v>
      </c>
      <c r="W4" s="16" t="n">
        <v>3969.423</v>
      </c>
    </row>
    <row r="5" customFormat="false" ht="14.65" hidden="false" customHeight="false" outlineLevel="0" collapsed="false">
      <c r="A5" s="4" t="s">
        <v>11</v>
      </c>
      <c r="B5" s="22" t="n">
        <f aca="false">79221*($R5^1.83)*($S5^0.786)*($T5^0.00492)*0.439*($U5^-0.561)*($V5^0.225)*($W5^0.179)/1000</f>
        <v>0.0182520410255736</v>
      </c>
      <c r="C5" s="22" t="n">
        <f aca="false">79221*($R5^1.83)*($S5^0.786)*($T5^0.00492)*($U5^0.439)*0.225*($V5^-0.775)*($W5^0.179)/1000</f>
        <v>0.0409430177351247</v>
      </c>
      <c r="D5" s="22" t="n">
        <f aca="false">79221*($R5^1.83)*($S5^0.786)*($T5^0.00492)*($U5^0.439)*($V5^0.225)*0.179*($W5^-0.821)/1000</f>
        <v>0.0178565896607809</v>
      </c>
      <c r="E5" s="23" t="n">
        <f aca="false">+(C5*V5+D5*W5)/(V5+W5)</f>
        <v>0.026031342039606</v>
      </c>
      <c r="F5" s="23"/>
      <c r="G5" s="4" t="s">
        <v>11</v>
      </c>
      <c r="H5" s="22" t="n">
        <f aca="false">73.99*($P5^0.126)*($Q5^-0.326)*($R5^0.473)*($S5^0.605)*($T5^-0.0271)*0.685*($U5^-0.315)*($V5^0.00271)*($W5^0.193)/1000</f>
        <v>0.00862065403050126</v>
      </c>
      <c r="I5" s="22" t="n">
        <f aca="false">73.99*($P5^0.126)*($Q5^-0.326)*($R5^0.473)*($S5^0.605)*($T5^-0.0271)*($U5^0.685)*0.00271*($V5^-0.997)*($W5^0.193)/1000</f>
        <v>0.000149618760771694</v>
      </c>
      <c r="J5" s="22" t="n">
        <f aca="false">73.99*($P5^0.126)*($Q5^-0.326)*($R5^0.473)*($S5^0.605)*($T5^-0.0271)*($U5^0.685)*($V5^0.00271)*0.193*($W5^-0.803)/1000</f>
        <v>0.00603355416843179</v>
      </c>
      <c r="K5" s="22" t="n">
        <f aca="false">+(I5*V5+J5*W5)/(V5+W5)</f>
        <v>0.00395009132975749</v>
      </c>
      <c r="L5" s="16" t="n">
        <v>479553.448</v>
      </c>
      <c r="M5" s="16" t="n">
        <v>181099</v>
      </c>
      <c r="N5" s="16" t="n">
        <f aca="false">71682*(P5^0.183)*(Q5^-0.643)*(R5^1.92)*(S5^1.176)*(T5^0.0445)*(U5^0.45)*(V5^0.103)*(W5^0.149)</f>
        <v>472258.63898235</v>
      </c>
      <c r="O5" s="16" t="n">
        <f aca="false">73.99*(P5^0.126)*(Q5^-0.326)*(R5^0.473)*(S5^0.605)*(T5^-0.0271)*(U5^0.685)*(V5^0.00271)*(W5^0.193)</f>
        <v>176551.296582179</v>
      </c>
      <c r="P5" s="3" t="n">
        <v>77192</v>
      </c>
      <c r="Q5" s="3" t="n">
        <v>3.00925140893557</v>
      </c>
      <c r="R5" s="3" t="n">
        <v>0.0515</v>
      </c>
      <c r="S5" s="2" t="n">
        <v>0.838967380792226</v>
      </c>
      <c r="T5" s="3" t="n">
        <v>1.39712918660287</v>
      </c>
      <c r="U5" s="16" t="n">
        <v>14028.824</v>
      </c>
      <c r="V5" s="16" t="n">
        <v>3205.316</v>
      </c>
      <c r="W5" s="16" t="n">
        <v>5846.86</v>
      </c>
    </row>
    <row r="6" customFormat="false" ht="14.65" hidden="false" customHeight="false" outlineLevel="0" collapsed="false">
      <c r="A6" s="5" t="s">
        <v>12</v>
      </c>
      <c r="B6" s="22" t="n">
        <f aca="false">79221*($R6^1.83)*($S6^0.786)*($T6^0.00492)*0.439*($U6^-0.561)*($V6^0.225)*($W6^0.179)/1000</f>
        <v>0.0109151903559855</v>
      </c>
      <c r="C6" s="22" t="n">
        <f aca="false">79221*($R6^1.83)*($S6^0.786)*($T6^0.00492)*($U6^0.439)*0.225*($V6^-0.775)*($W6^0.179)/1000</f>
        <v>0.037885290839683</v>
      </c>
      <c r="D6" s="22" t="n">
        <f aca="false">79221*($R6^1.83)*($S6^0.786)*($T6^0.00492)*($U6^0.439)*($V6^0.225)*0.179*($W6^-0.821)/1000</f>
        <v>0.0748264359745012</v>
      </c>
      <c r="E6" s="23" t="n">
        <f aca="false">+(C6*V6+D6*W6)/(V6+W6)</f>
        <v>0.0484925125556132</v>
      </c>
      <c r="F6" s="23"/>
      <c r="G6" s="5" t="s">
        <v>12</v>
      </c>
      <c r="H6" s="22" t="n">
        <f aca="false">73.99*($P6^0.126)*($Q6^-0.326)*($R6^0.473)*($S6^0.605)*($T6^-0.0271)*0.685*($U6^-0.315)*($V6^0.00271)*($W6^0.193)/1000</f>
        <v>0.00595794160228056</v>
      </c>
      <c r="I6" s="22" t="n">
        <f aca="false">73.99*($P6^0.126)*($Q6^-0.326)*($R6^0.473)*($S6^0.605)*($T6^-0.0271)*($U6^0.685)*0.00271*($V6^-0.997)*($W6^0.193)/1000</f>
        <v>0.000160104384874304</v>
      </c>
      <c r="J6" s="22" t="n">
        <f aca="false">73.99*($P6^0.126)*($Q6^-0.326)*($R6^0.473)*($S6^0.605)*($T6^-0.0271)*($U6^0.685)*($V6^0.00271)*0.193*($W6^-0.803)/1000</f>
        <v>0.029312001331454</v>
      </c>
      <c r="K6" s="22" t="n">
        <f aca="false">+(I6*V6+J6*W6)/(V6+W6)</f>
        <v>0.00853073375285426</v>
      </c>
      <c r="L6" s="16" t="n">
        <v>5321960.964</v>
      </c>
      <c r="M6" s="16" t="n">
        <v>2571927</v>
      </c>
      <c r="N6" s="16" t="n">
        <f aca="false">71682*(P6^0.183)*(Q6^-0.643)*(R6^1.92)*(S6^1.176)*(T6^0.0445)*(U6^0.45)*(V6^0.103)*(W6^0.149)</f>
        <v>4425388.92899159</v>
      </c>
      <c r="O6" s="16" t="n">
        <f aca="false">73.99*(P6^0.126)*(Q6^-0.326)*(R6^0.473)*(S6^0.605)*(T6^-0.0271)*(U6^0.685)*(V6^0.00271)*(W6^0.193)</f>
        <v>1891712.4135725</v>
      </c>
      <c r="P6" s="3" t="n">
        <v>169201</v>
      </c>
      <c r="Q6" s="3" t="n">
        <v>3.05854284372906</v>
      </c>
      <c r="R6" s="3" t="n">
        <v>0.0535</v>
      </c>
      <c r="S6" s="2" t="n">
        <v>1.21761246683661</v>
      </c>
      <c r="T6" s="3" t="n">
        <v>1.53056884635832</v>
      </c>
      <c r="U6" s="16" t="n">
        <v>217495.083</v>
      </c>
      <c r="V6" s="16" t="n">
        <v>32116.494</v>
      </c>
      <c r="W6" s="16" t="n">
        <v>12936.423</v>
      </c>
    </row>
    <row r="7" customFormat="false" ht="14.65" hidden="false" customHeight="false" outlineLevel="0" collapsed="false">
      <c r="A7" s="4" t="s">
        <v>13</v>
      </c>
      <c r="B7" s="22" t="n">
        <f aca="false">79221*($R7^1.83)*($S7^0.786)*($T7^0.00492)*0.439*($U7^-0.561)*($V7^0.225)*($W7^0.179)/1000</f>
        <v>0.0108176782052698</v>
      </c>
      <c r="C7" s="22" t="n">
        <f aca="false">79221*($R7^1.83)*($S7^0.786)*($T7^0.00492)*($U7^0.439)*0.225*($V7^-0.775)*($W7^0.179)/1000</f>
        <v>0.108163129541547</v>
      </c>
      <c r="D7" s="22" t="n">
        <f aca="false">79221*($R7^1.83)*($S7^0.786)*($T7^0.00492)*($U7^0.439)*($V7^0.225)*0.179*($W7^-0.821)/1000</f>
        <v>0.0463698662894837</v>
      </c>
      <c r="E7" s="23" t="n">
        <f aca="false">+(C7*V7+D7*W7)/(V7+W7)</f>
        <v>0.0680082369156699</v>
      </c>
      <c r="F7" s="23"/>
      <c r="G7" s="4" t="s">
        <v>13</v>
      </c>
      <c r="H7" s="22" t="n">
        <f aca="false">73.99*($P7^0.126)*($Q7^-0.326)*($R7^0.473)*($S7^0.605)*($T7^-0.0271)*0.685*($U7^-0.315)*($V7^0.00271)*($W7^0.193)/1000</f>
        <v>0.00673217508725039</v>
      </c>
      <c r="I7" s="22" t="n">
        <f aca="false">73.99*($P7^0.126)*($Q7^-0.326)*($R7^0.473)*($S7^0.605)*($T7^-0.0271)*($U7^0.685)*0.00271*($V7^-0.997)*($W7^0.193)/1000</f>
        <v>0.000520680904976394</v>
      </c>
      <c r="J7" s="22" t="n">
        <f aca="false">73.99*($P7^0.126)*($Q7^-0.326)*($R7^0.473)*($S7^0.605)*($T7^-0.0271)*($U7^0.685)*($V7^0.00271)*0.193*($W7^-0.803)/1000</f>
        <v>0.0205762343243471</v>
      </c>
      <c r="K7" s="22" t="n">
        <f aca="false">+(I7*V7+J7*W7)/(V7+W7)</f>
        <v>0.0135533086013375</v>
      </c>
      <c r="L7" s="16" t="n">
        <v>688811.57</v>
      </c>
      <c r="M7" s="16" t="n">
        <v>274625</v>
      </c>
      <c r="N7" s="16" t="n">
        <f aca="false">71682*(P7^0.183)*(Q7^-0.643)*(R7^1.92)*(S7^1.176)*(T7^0.0445)*(U7^0.45)*(V7^0.103)*(W7^0.149)</f>
        <v>663399.430388643</v>
      </c>
      <c r="O7" s="16" t="n">
        <f aca="false">73.99*(P7^0.126)*(Q7^-0.326)*(R7^0.473)*(S7^0.605)*(T7^-0.0271)*(U7^0.685)*(V7^0.00271)*(W7^0.193)</f>
        <v>264118.462061716</v>
      </c>
      <c r="P7" s="3" t="n">
        <v>78721</v>
      </c>
      <c r="Q7" s="3" t="n">
        <v>3.01831807997023</v>
      </c>
      <c r="R7" s="3" t="n">
        <v>0.0525</v>
      </c>
      <c r="S7" s="2" t="n">
        <v>1.00780620743611</v>
      </c>
      <c r="T7" s="3" t="n">
        <v>1.50717703349282</v>
      </c>
      <c r="U7" s="16" t="n">
        <v>26874.1</v>
      </c>
      <c r="V7" s="16" t="n">
        <v>1377.548</v>
      </c>
      <c r="W7" s="16" t="n">
        <v>2556.352</v>
      </c>
    </row>
    <row r="8" customFormat="false" ht="14.65" hidden="false" customHeight="false" outlineLevel="0" collapsed="false">
      <c r="A8" s="4" t="s">
        <v>14</v>
      </c>
      <c r="B8" s="22" t="n">
        <f aca="false">79221*($R8^1.83)*($S8^0.786)*($T8^0.00492)*0.439*($U8^-0.561)*($V8^0.225)*($W8^0.179)/1000</f>
        <v>0.015685840754584</v>
      </c>
      <c r="C8" s="22" t="n">
        <f aca="false">79221*($R8^1.83)*($S8^0.786)*($T8^0.00492)*($U8^0.439)*0.225*($V8^-0.775)*($W8^0.179)/1000</f>
        <v>0.0540356704048368</v>
      </c>
      <c r="D8" s="22" t="n">
        <f aca="false">79221*($R8^1.83)*($S8^0.786)*($T8^0.00492)*($U8^0.439)*($V8^0.225)*0.179*($W8^-0.821)/1000</f>
        <v>0.097605355645122</v>
      </c>
      <c r="E8" s="23" t="n">
        <f aca="false">+(C8*V8+D8*W8)/(V8+W8)</f>
        <v>0.0673576730538871</v>
      </c>
      <c r="F8" s="23"/>
      <c r="G8" s="4" t="s">
        <v>14</v>
      </c>
      <c r="H8" s="22" t="n">
        <f aca="false">73.99*($P8^0.126)*($Q8^-0.326)*($R8^0.473)*($S8^0.605)*($T8^-0.0271)*0.685*($U8^-0.315)*($V8^0.00271)*($W8^0.193)/1000</f>
        <v>0.00622615643483505</v>
      </c>
      <c r="I8" s="22" t="n">
        <f aca="false">73.99*($P8^0.126)*($Q8^-0.326)*($R8^0.473)*($S8^0.605)*($T8^-0.0271)*($U8^0.685)*0.00271*($V8^-0.997)*($W8^0.193)/1000</f>
        <v>0.000165947846616978</v>
      </c>
      <c r="J8" s="22" t="n">
        <f aca="false">73.99*($P8^0.126)*($Q8^-0.326)*($R8^0.473)*($S8^0.605)*($T8^-0.0271)*($U8^0.685)*($V8^0.00271)*0.193*($W8^-0.803)/1000</f>
        <v>0.0275602257851777</v>
      </c>
      <c r="K8" s="22" t="n">
        <f aca="false">+(I8*V8+J8*W8)/(V8+W8)</f>
        <v>0.00854210758368318</v>
      </c>
      <c r="L8" s="16" t="n">
        <v>589285.678</v>
      </c>
      <c r="M8" s="16" t="n">
        <v>142057</v>
      </c>
      <c r="N8" s="16" t="n">
        <f aca="false">71682*(P8^0.183)*(Q8^-0.643)*(R8^1.92)*(S8^1.176)*(T8^0.0445)*(U8^0.45)*(V8^0.103)*(W8^0.149)</f>
        <v>611174.370161849</v>
      </c>
      <c r="O8" s="16" t="n">
        <f aca="false">73.99*(P8^0.126)*(Q8^-0.326)*(R8^0.473)*(S8^0.605)*(T8^-0.0271)*(U8^0.685)*(V8^0.00271)*(W8^0.193)</f>
        <v>198049.691516518</v>
      </c>
      <c r="P8" s="3" t="n">
        <v>20357</v>
      </c>
      <c r="Q8" s="3" t="n">
        <v>3.06535734272844</v>
      </c>
      <c r="R8" s="3" t="n">
        <v>0.0515</v>
      </c>
      <c r="S8" s="2" t="n">
        <v>1.30006264596944</v>
      </c>
      <c r="T8" s="3" t="n">
        <v>1.72248803827751</v>
      </c>
      <c r="U8" s="16" t="n">
        <v>21789.372</v>
      </c>
      <c r="V8" s="16" t="n">
        <v>3241.828</v>
      </c>
      <c r="W8" s="16" t="n">
        <v>1427.8</v>
      </c>
    </row>
    <row r="9" customFormat="false" ht="14.65" hidden="false" customHeight="false" outlineLevel="0" collapsed="false">
      <c r="A9" s="4" t="s">
        <v>15</v>
      </c>
      <c r="B9" s="22" t="n">
        <f aca="false">79221*($R9^1.83)*($S9^0.786)*($T9^0.00492)*0.439*($U9^-0.561)*($V9^0.225)*($W9^0.179)/1000</f>
        <v>0.0173239062977305</v>
      </c>
      <c r="C9" s="22" t="n">
        <f aca="false">79221*($R9^1.83)*($S9^0.786)*($T9^0.00492)*($U9^0.439)*0.225*($V9^-0.775)*($W9^0.179)/1000</f>
        <v>0.044860842038788</v>
      </c>
      <c r="D9" s="22" t="n">
        <f aca="false">79221*($R9^1.83)*($S9^0.786)*($T9^0.00492)*($U9^0.439)*($V9^0.225)*0.179*($W9^-0.821)/1000</f>
        <v>0.0795902797516481</v>
      </c>
      <c r="E9" s="23" t="n">
        <f aca="false">+(C9*V9+D9*W9)/(V9+W9)</f>
        <v>0.0556126953581118</v>
      </c>
      <c r="F9" s="23"/>
      <c r="G9" s="4" t="s">
        <v>15</v>
      </c>
      <c r="H9" s="22" t="n">
        <f aca="false">73.99*($P9^0.126)*($Q9^-0.326)*($R9^0.473)*($S9^0.605)*($T9^-0.0271)*0.685*($U9^-0.315)*($V9^0.00271)*($W9^0.193)/1000</f>
        <v>0.00579575547008651</v>
      </c>
      <c r="I9" s="22" t="n">
        <f aca="false">73.99*($P9^0.126)*($Q9^-0.326)*($R9^0.473)*($S9^0.605)*($T9^-0.0271)*($U9^0.685)*0.00271*($V9^-0.997)*($W9^0.193)/1000</f>
        <v>0.000116083295405673</v>
      </c>
      <c r="J9" s="22" t="n">
        <f aca="false">73.99*($P9^0.126)*($Q9^-0.326)*($R9^0.473)*($S9^0.605)*($T9^-0.0271)*($U9^0.685)*($V9^0.00271)*0.193*($W9^-0.803)/1000</f>
        <v>0.0188586538684557</v>
      </c>
      <c r="K9" s="22" t="n">
        <f aca="false">+(I9*V9+J9*W9)/(V9+W9)</f>
        <v>0.00591857774678828</v>
      </c>
      <c r="L9" s="16" t="n">
        <v>241810.132</v>
      </c>
      <c r="M9" s="16" t="n">
        <v>116311</v>
      </c>
      <c r="N9" s="16" t="n">
        <f aca="false">71682*(P9^0.183)*(Q9^-0.643)*(R9^1.92)*(S9^1.176)*(T9^0.0445)*(U9^0.45)*(V9^0.103)*(W9^0.149)</f>
        <v>140883.489343661</v>
      </c>
      <c r="O9" s="16" t="n">
        <f aca="false">73.99*(P9^0.126)*(Q9^-0.326)*(R9^0.473)*(S9^0.605)*(T9^-0.0271)*(U9^0.685)*(V9^0.00271)*(W9^0.193)</f>
        <v>45320.6502320694</v>
      </c>
      <c r="P9" s="3" t="n">
        <v>5544</v>
      </c>
      <c r="Q9" s="3" t="n">
        <v>3</v>
      </c>
      <c r="R9" s="3" t="n">
        <v>0.0495</v>
      </c>
      <c r="S9" s="2" t="n">
        <v>1.05245445176116</v>
      </c>
      <c r="T9" s="3" t="n">
        <v>1.4274322169059</v>
      </c>
      <c r="U9" s="16" t="n">
        <v>5356.445</v>
      </c>
      <c r="V9" s="16" t="n">
        <v>1060.164</v>
      </c>
      <c r="W9" s="16" t="n">
        <v>475.391</v>
      </c>
    </row>
    <row r="10" customFormat="false" ht="14.65" hidden="false" customHeight="false" outlineLevel="0" collapsed="false">
      <c r="A10" s="5" t="s">
        <v>16</v>
      </c>
      <c r="B10" s="22" t="n">
        <f aca="false">79221*($R10^1.83)*($S10^0.786)*($T10^0.00492)*0.439*($U10^-0.561)*($V10^0.225)*($W10^0.179)/1000</f>
        <v>0.0101450807772667</v>
      </c>
      <c r="C10" s="22" t="n">
        <f aca="false">79221*($R10^1.83)*($S10^0.786)*($T10^0.00492)*($U10^0.439)*0.225*($V10^-0.775)*($W10^0.179)/1000</f>
        <v>0.194186658736056</v>
      </c>
      <c r="D10" s="22" t="n">
        <f aca="false">79221*($R10^1.83)*($S10^0.786)*($T10^0.00492)*($U10^0.439)*($V10^0.225)*0.179*($W10^-0.821)/1000</f>
        <v>1.33888105149272</v>
      </c>
      <c r="E10" s="23" t="n">
        <f aca="false">+(C10*V10+D10*W10)/(V10+W10)</f>
        <v>0.312603320055713</v>
      </c>
      <c r="F10" s="23"/>
      <c r="G10" s="5" t="s">
        <v>16</v>
      </c>
      <c r="H10" s="22" t="n">
        <f aca="false">73.99*($P10^0.126)*($Q10^-0.326)*($R10^0.473)*($S10^0.605)*($T10^-0.0271)*0.685*($U10^-0.315)*($V10^0.00271)*($W10^0.193)/1000</f>
        <v>0.00338807145103835</v>
      </c>
      <c r="I10" s="22" t="n">
        <f aca="false">73.99*($P10^0.126)*($Q10^-0.326)*($R10^0.473)*($S10^0.605)*($T10^-0.0271)*($U10^0.685)*0.00271*($V10^-0.997)*($W10^0.193)/1000</f>
        <v>0.000501242047582595</v>
      </c>
      <c r="J10" s="22" t="n">
        <f aca="false">73.99*($P10^0.126)*($Q10^-0.326)*($R10^0.473)*($S10^0.605)*($T10^-0.0271)*($U10^0.685)*($V10^0.00271)*0.193*($W10^-0.803)/1000</f>
        <v>0.311912323586583</v>
      </c>
      <c r="K10" s="22" t="n">
        <f aca="false">+(I10*V10+J10*W10)/(V10+W10)</f>
        <v>0.0327161815171349</v>
      </c>
      <c r="L10" s="16" t="n">
        <v>47669</v>
      </c>
      <c r="M10" s="16" t="n">
        <v>47669</v>
      </c>
      <c r="N10" s="16" t="n">
        <f aca="false">71682*(P10^0.183)*(Q10^-0.643)*(R10^1.92)*(S10^1.176)*(T10^0.0445)*(U10^0.45)*(V10^0.103)*(W10^0.149)</f>
        <v>72760.7321577327</v>
      </c>
      <c r="O10" s="16" t="n">
        <f aca="false">73.99*(P10^0.126)*(Q10^-0.326)*(R10^0.473)*(S10^0.605)*(T10^-0.0271)*(U10^0.685)*(V10^0.00271)*(W10^0.193)</f>
        <v>17107.0503705828</v>
      </c>
      <c r="P10" s="3" t="n">
        <v>1107</v>
      </c>
      <c r="Q10" s="3" t="n">
        <v>3</v>
      </c>
      <c r="R10" s="3" t="n">
        <v>0.0525</v>
      </c>
      <c r="S10" s="2" t="n">
        <v>1.61421991333493</v>
      </c>
      <c r="T10" s="3" t="n">
        <v>2.89686337054758</v>
      </c>
      <c r="U10" s="16" t="n">
        <v>3458.702</v>
      </c>
      <c r="V10" s="16" t="n">
        <v>92.612</v>
      </c>
      <c r="W10" s="16" t="n">
        <v>10.6860000000002</v>
      </c>
    </row>
    <row r="11" customFormat="false" ht="14.65" hidden="false" customHeight="false" outlineLevel="0" collapsed="false">
      <c r="A11" s="4" t="s">
        <v>17</v>
      </c>
      <c r="B11" s="22" t="n">
        <f aca="false">79221*($R11^1.83)*($S11^0.786)*($T11^0.00492)*0.439*($U11^-0.561)*($V11^0.225)*($W11^0.179)/1000</f>
        <v>0.0108569446081406</v>
      </c>
      <c r="C11" s="22" t="n">
        <f aca="false">79221*($R11^1.83)*($S11^0.786)*($T11^0.00492)*($U11^0.439)*0.225*($V11^-0.775)*($W11^0.179)/1000</f>
        <v>0.0379109183119405</v>
      </c>
      <c r="D11" s="22" t="n">
        <f aca="false">79221*($R11^1.83)*($S11^0.786)*($T11^0.00492)*($U11^0.439)*($V11^0.225)*0.179*($W11^-0.821)/1000</f>
        <v>0.0436122502275884</v>
      </c>
      <c r="E11" s="23" t="n">
        <f aca="false">+(C11*V11+D11*W11)/(V11+W11)</f>
        <v>0.0402417809956465</v>
      </c>
      <c r="F11" s="23"/>
      <c r="G11" s="4" t="s">
        <v>17</v>
      </c>
      <c r="H11" s="22" t="n">
        <f aca="false">73.99*($P11^0.126)*($Q11^-0.326)*($R11^0.473)*($S11^0.605)*($T11^-0.0271)*0.685*($U11^-0.315)*($V11^0.00271)*($W11^0.193)/1000</f>
        <v>0.00611391606159324</v>
      </c>
      <c r="I11" s="22" t="n">
        <f aca="false">73.99*($P11^0.126)*($Q11^-0.326)*($R11^0.473)*($S11^0.605)*($T11^-0.0271)*($U11^0.685)*0.00271*($V11^-0.997)*($W11^0.193)/1000</f>
        <v>0.000165249479700335</v>
      </c>
      <c r="J11" s="22" t="n">
        <f aca="false">73.99*($P11^0.126)*($Q11^-0.326)*($R11^0.473)*($S11^0.605)*($T11^-0.0271)*($U11^0.685)*($V11^0.00271)*0.193*($W11^-0.803)/1000</f>
        <v>0.0176057318545306</v>
      </c>
      <c r="K11" s="22" t="n">
        <f aca="false">+(I11*V11+J11*W11)/(V11+W11)</f>
        <v>0.00729540260089511</v>
      </c>
      <c r="L11" s="16" t="n">
        <v>2132756.22</v>
      </c>
      <c r="M11" s="16" t="n">
        <v>897504</v>
      </c>
      <c r="N11" s="16" t="n">
        <f aca="false">71682*(P11^0.183)*(Q11^-0.643)*(R11^1.92)*(S11^1.176)*(T11^0.0445)*(U11^0.45)*(V11^0.103)*(W11^0.149)</f>
        <v>1821068.83207458</v>
      </c>
      <c r="O11" s="16" t="n">
        <f aca="false">73.99*(P11^0.126)*(Q11^-0.326)*(R11^0.473)*(S11^0.605)*(T11^-0.0271)*(U11^0.685)*(V11^0.00271)*(W11^0.193)</f>
        <v>857075.43160919</v>
      </c>
      <c r="P11" s="3" t="n">
        <v>112808</v>
      </c>
      <c r="Q11" s="3" t="n">
        <v>3.0275318527805</v>
      </c>
      <c r="R11" s="3" t="n">
        <v>0.0515</v>
      </c>
      <c r="S11" s="2" t="n">
        <v>0.998088864895451</v>
      </c>
      <c r="T11" s="3" t="n">
        <v>1.01116427432217</v>
      </c>
      <c r="U11" s="16" t="n">
        <v>96026.289</v>
      </c>
      <c r="V11" s="16" t="n">
        <v>14094.558</v>
      </c>
      <c r="W11" s="16" t="n">
        <v>9747.153</v>
      </c>
    </row>
    <row r="12" customFormat="false" ht="14.65" hidden="false" customHeight="false" outlineLevel="0" collapsed="false">
      <c r="A12" s="4" t="s">
        <v>18</v>
      </c>
      <c r="B12" s="22" t="n">
        <f aca="false">79221*($R12^1.83)*($S12^0.786)*($T12^0.00492)*0.439*($U12^-0.561)*($V12^0.225)*($W12^0.179)/1000</f>
        <v>0.013179312797816</v>
      </c>
      <c r="C12" s="22" t="n">
        <f aca="false">79221*($R12^1.83)*($S12^0.786)*($T12^0.00492)*($U12^0.439)*0.225*($V12^-0.775)*($W12^0.179)/1000</f>
        <v>0.0192551007405905</v>
      </c>
      <c r="D12" s="22" t="n">
        <f aca="false">79221*($R12^1.83)*($S12^0.786)*($T12^0.00492)*($U12^0.439)*($V12^0.225)*0.179*($W12^-0.821)/1000</f>
        <v>0.0265641236433798</v>
      </c>
      <c r="E12" s="23" t="n">
        <f aca="false">+(C12*V12+D12*W12)/(V12+W12)</f>
        <v>0.0219283639836569</v>
      </c>
      <c r="F12" s="23"/>
      <c r="G12" s="4" t="s">
        <v>18</v>
      </c>
      <c r="H12" s="22" t="n">
        <f aca="false">73.99*($P12^0.126)*($Q12^-0.326)*($R12^0.473)*($S12^0.605)*($T12^-0.0271)*0.685*($U12^-0.315)*($V12^0.00271)*($W12^0.193)/1000</f>
        <v>0.00673799994458799</v>
      </c>
      <c r="I12" s="22" t="n">
        <f aca="false">73.99*($P12^0.126)*($Q12^-0.326)*($R12^0.473)*($S12^0.605)*($T12^-0.0271)*($U12^0.685)*0.00271*($V12^-0.997)*($W12^0.193)/1000</f>
        <v>7.6203676984156E-005</v>
      </c>
      <c r="J12" s="22" t="n">
        <f aca="false">73.99*($P12^0.126)*($Q12^-0.326)*($R12^0.473)*($S12^0.605)*($T12^-0.0271)*($U12^0.685)*($V12^0.00271)*0.193*($W12^-0.803)/1000</f>
        <v>0.00973727290514694</v>
      </c>
      <c r="K12" s="22" t="n">
        <f aca="false">+(I12*V12+J12*W12)/(V12+W12)</f>
        <v>0.00360972403939964</v>
      </c>
      <c r="L12" s="16" t="n">
        <v>1113409.56</v>
      </c>
      <c r="M12" s="16" t="n">
        <v>404325</v>
      </c>
      <c r="N12" s="16" t="n">
        <f aca="false">71682*(P12^0.183)*(Q12^-0.643)*(R12^1.92)*(S12^1.176)*(T12^0.0445)*(U12^0.45)*(V12^0.103)*(W12^0.149)</f>
        <v>1080117.42955311</v>
      </c>
      <c r="O12" s="16" t="n">
        <f aca="false">73.99*(P12^0.126)*(Q12^-0.326)*(R12^0.473)*(S12^0.605)*(T12^-0.0271)*(U12^0.685)*(V12^0.00271)*(W12^0.193)</f>
        <v>493401.957939438</v>
      </c>
      <c r="P12" s="3" t="n">
        <v>110879</v>
      </c>
      <c r="Q12" s="3" t="n">
        <v>3.02249931932024</v>
      </c>
      <c r="R12" s="3" t="n">
        <v>0.0475</v>
      </c>
      <c r="S12" s="2" t="n">
        <v>0.899259074283108</v>
      </c>
      <c r="T12" s="3" t="n">
        <v>1.61988304093567</v>
      </c>
      <c r="U12" s="16" t="n">
        <v>50160.336</v>
      </c>
      <c r="V12" s="16" t="n">
        <v>17596.464</v>
      </c>
      <c r="W12" s="16" t="n">
        <v>10147.2</v>
      </c>
    </row>
    <row r="13" customFormat="false" ht="14.65" hidden="false" customHeight="false" outlineLevel="0" collapsed="false">
      <c r="A13" s="4" t="s">
        <v>19</v>
      </c>
      <c r="B13" s="22" t="n">
        <f aca="false">79221*($R13^1.83)*($S13^0.786)*($T13^0.00492)*0.439*($U13^-0.561)*($V13^0.225)*($W13^0.179)/1000</f>
        <v>0.0110440079629173</v>
      </c>
      <c r="C13" s="22" t="n">
        <f aca="false">79221*($R13^1.83)*($S13^0.786)*($T13^0.00492)*($U13^0.439)*0.225*($V13^-0.775)*($W13^0.179)/1000</f>
        <v>0.032553045900119</v>
      </c>
      <c r="D13" s="22" t="n">
        <f aca="false">79221*($R13^1.83)*($S13^0.786)*($T13^0.00492)*($U13^0.439)*($V13^0.225)*0.179*($W13^-0.821)/1000</f>
        <v>0.86757484328917</v>
      </c>
      <c r="E13" s="23" t="n">
        <f aca="false">+(C13*V13+D13*W13)/(V13+W13)</f>
        <v>0.056756576259222</v>
      </c>
      <c r="F13" s="23"/>
      <c r="G13" s="4" t="s">
        <v>19</v>
      </c>
      <c r="H13" s="22" t="n">
        <f aca="false">73.99*($P13^0.126)*($Q13^-0.326)*($R13^0.473)*($S13^0.605)*($T13^-0.0271)*0.685*($U13^-0.315)*($V13^0.00271)*($W13^0.193)/1000</f>
        <v>0.00323497249521288</v>
      </c>
      <c r="I13" s="22" t="n">
        <f aca="false">73.99*($P13^0.126)*($Q13^-0.326)*($R13^0.473)*($S13^0.605)*($T13^-0.0271)*($U13^0.685)*0.00271*($V13^-0.997)*($W13^0.193)/1000</f>
        <v>7.37544266198227E-005</v>
      </c>
      <c r="J13" s="22" t="n">
        <f aca="false">73.99*($P13^0.126)*($Q13^-0.326)*($R13^0.473)*($S13^0.605)*($T13^-0.0271)*($U13^0.685)*($V13^0.00271)*0.193*($W13^-0.803)/1000</f>
        <v>0.178127250144512</v>
      </c>
      <c r="K13" s="22" t="n">
        <f aca="false">+(I13*V13+J13*W13)/(V13+W13)</f>
        <v>0.00523472531699353</v>
      </c>
      <c r="L13" s="16" t="n">
        <v>70059</v>
      </c>
      <c r="M13" s="16" t="n">
        <v>70059</v>
      </c>
      <c r="N13" s="16" t="n">
        <f aca="false">71682*(P13^0.183)*(Q13^-0.643)*(R13^1.92)*(S13^1.176)*(T13^0.0445)*(U13^0.45)*(V13^0.103)*(W13^0.149)</f>
        <v>123555.589680717</v>
      </c>
      <c r="O13" s="16" t="n">
        <f aca="false">73.99*(P13^0.126)*(Q13^-0.326)*(R13^0.473)*(S13^0.605)*(T13^-0.0271)*(U13^0.685)*(V13^0.00271)*(W13^0.193)</f>
        <v>32307.0988765933</v>
      </c>
      <c r="P13" s="3" t="n">
        <v>4106</v>
      </c>
      <c r="Q13" s="3" t="n">
        <v>3</v>
      </c>
      <c r="R13" s="3" t="n">
        <v>0.0515</v>
      </c>
      <c r="S13" s="2" t="n">
        <v>1.11970287911637</v>
      </c>
      <c r="T13" s="3" t="n">
        <v>3.46305156831473</v>
      </c>
      <c r="U13" s="16" t="n">
        <v>6840.974</v>
      </c>
      <c r="V13" s="16" t="n">
        <v>1189.518</v>
      </c>
      <c r="W13" s="16" t="n">
        <v>35.5080000000001</v>
      </c>
    </row>
    <row r="14" customFormat="false" ht="14.65" hidden="false" customHeight="false" outlineLevel="0" collapsed="false">
      <c r="A14" s="5" t="s">
        <v>21</v>
      </c>
      <c r="B14" s="22" t="n">
        <f aca="false">79221*($R14^1.83)*($S14^0.786)*($T14^0.00492)*0.439*($U14^-0.561)*($V14^0.225)*($W14^0.179)/1000</f>
        <v>0.0253326644411303</v>
      </c>
      <c r="C14" s="22" t="n">
        <f aca="false">79221*($R14^1.83)*($S14^0.786)*($T14^0.00492)*($U14^0.439)*0.225*($V14^-0.775)*($W14^0.179)/1000</f>
        <v>0.0215454007796996</v>
      </c>
      <c r="D14" s="22" t="n">
        <f aca="false">79221*($R14^1.83)*($S14^0.786)*($T14^0.00492)*($U14^0.439)*($V14^0.225)*0.179*($W14^-0.821)/1000</f>
        <v>0.0328451244450445</v>
      </c>
      <c r="E14" s="23" t="n">
        <f aca="false">+(C14*V14+D14*W14)/(V14+W14)</f>
        <v>0.0254201824902052</v>
      </c>
      <c r="F14" s="23"/>
      <c r="G14" s="5" t="s">
        <v>21</v>
      </c>
      <c r="H14" s="22" t="n">
        <f aca="false">73.99*($P14^0.126)*($Q14^-0.326)*($R14^0.473)*($S14^0.605)*($T14^-0.0271)*0.685*($U14^-0.315)*($V14^0.00271)*($W14^0.193)/1000</f>
        <v>0.00882497700152816</v>
      </c>
      <c r="I14" s="22" t="n">
        <f aca="false">73.99*($P14^0.126)*($Q14^-0.326)*($R14^0.473)*($S14^0.605)*($T14^-0.0271)*($U14^0.685)*0.00271*($V14^-0.997)*($W14^0.193)/1000</f>
        <v>5.80726344733394E-005</v>
      </c>
      <c r="J14" s="22" t="n">
        <f aca="false">73.99*($P14^0.126)*($Q14^-0.326)*($R14^0.473)*($S14^0.605)*($T14^-0.0271)*($U14^0.685)*($V14^0.00271)*0.193*($W14^-0.803)/1000</f>
        <v>0.00814647174055334</v>
      </c>
      <c r="K14" s="22" t="n">
        <f aca="false">+(I14*V14+J14*W14)/(V14+W14)</f>
        <v>0.00283166089660289</v>
      </c>
      <c r="L14" s="16" t="n">
        <v>269425.34</v>
      </c>
      <c r="M14" s="16" t="n">
        <v>79784</v>
      </c>
      <c r="N14" s="16" t="n">
        <f aca="false">71682*(P14^0.183)*(Q14^-0.643)*(R14^1.92)*(S14^1.176)*(T14^0.0445)*(U14^0.45)*(V14^0.103)*(W14^0.149)</f>
        <v>250721.106862923</v>
      </c>
      <c r="O14" s="16" t="n">
        <f aca="false">73.99*(P14^0.126)*(Q14^-0.326)*(R14^0.473)*(S14^0.605)*(T14^-0.0271)*(U14^0.685)*(V14^0.00271)*(W14^0.193)</f>
        <v>72335.3862337405</v>
      </c>
      <c r="P14" s="3" t="n">
        <v>58835</v>
      </c>
      <c r="Q14" s="3" t="n">
        <v>3.01043076926056</v>
      </c>
      <c r="R14" s="3" t="n">
        <v>0.0525</v>
      </c>
      <c r="S14" s="2" t="n">
        <v>0.819937584983444</v>
      </c>
      <c r="T14" s="3" t="n">
        <v>1.16002126528442</v>
      </c>
      <c r="U14" s="16" t="n">
        <v>5614.716</v>
      </c>
      <c r="V14" s="16" t="n">
        <v>3383.546</v>
      </c>
      <c r="W14" s="16" t="n">
        <v>1765.738</v>
      </c>
    </row>
    <row r="15" customFormat="false" ht="14.65" hidden="false" customHeight="false" outlineLevel="0" collapsed="false">
      <c r="A15" s="4" t="s">
        <v>22</v>
      </c>
      <c r="B15" s="22" t="n">
        <f aca="false">79221*($R15^1.83)*($S15^0.786)*($T15^0.00492)*0.439*($U15^-0.561)*($V15^0.225)*($W15^0.179)/1000</f>
        <v>0.0154312180464528</v>
      </c>
      <c r="C15" s="22" t="n">
        <f aca="false">79221*($R15^1.83)*($S15^0.786)*($T15^0.00492)*($U15^0.439)*0.225*($V15^-0.775)*($W15^0.179)/1000</f>
        <v>0.04102666602503</v>
      </c>
      <c r="D15" s="22" t="n">
        <f aca="false">79221*($R15^1.83)*($S15^0.786)*($T15^0.00492)*($U15^0.439)*($V15^0.225)*0.179*($W15^-0.821)/1000</f>
        <v>0.0386954171350518</v>
      </c>
      <c r="E15" s="23" t="n">
        <f aca="false">+(C15*V15+D15*W15)/(V15+W15)</f>
        <v>0.0399600052802859</v>
      </c>
      <c r="F15" s="23"/>
      <c r="G15" s="4" t="s">
        <v>22</v>
      </c>
      <c r="H15" s="22" t="n">
        <f aca="false">73.99*($P15^0.126)*($Q15^-0.326)*($R15^0.473)*($S15^0.605)*($T15^-0.0271)*0.685*($U15^-0.315)*($V15^0.00271)*($W15^0.193)/1000</f>
        <v>0.00765577929720663</v>
      </c>
      <c r="I15" s="22" t="n">
        <f aca="false">73.99*($P15^0.126)*($Q15^-0.326)*($R15^0.473)*($S15^0.605)*($T15^-0.0271)*($U15^0.685)*0.00271*($V15^-0.997)*($W15^0.193)/1000</f>
        <v>0.000157544736667432</v>
      </c>
      <c r="J15" s="22" t="n">
        <f aca="false">73.99*($P15^0.126)*($Q15^-0.326)*($R15^0.473)*($S15^0.605)*($T15^-0.0271)*($U15^0.685)*($V15^0.00271)*0.193*($W15^-0.803)/1000</f>
        <v>0.0137662001508952</v>
      </c>
      <c r="K15" s="22" t="n">
        <f aca="false">+(I15*V15+J15*W15)/(V15+W15)</f>
        <v>0.00638417226730475</v>
      </c>
      <c r="L15" s="16" t="n">
        <v>2494676.878</v>
      </c>
      <c r="M15" s="16" t="n">
        <v>643432</v>
      </c>
      <c r="N15" s="16" t="n">
        <f aca="false">71682*(P15^0.183)*(Q15^-0.643)*(R15^1.92)*(S15^1.176)*(T15^0.0445)*(U15^0.45)*(V15^0.103)*(W15^0.149)</f>
        <v>1930281.17814765</v>
      </c>
      <c r="O15" s="16" t="n">
        <f aca="false">73.99*(P15^0.126)*(Q15^-0.326)*(R15^0.473)*(S15^0.605)*(T15^-0.0271)*(U15^0.685)*(V15^0.00271)*(W15^0.193)</f>
        <v>722687.303549194</v>
      </c>
      <c r="P15" s="3" t="n">
        <v>136965</v>
      </c>
      <c r="Q15" s="3" t="n">
        <v>3.02216072981059</v>
      </c>
      <c r="R15" s="3" t="n">
        <v>0.0535</v>
      </c>
      <c r="S15" s="2" t="n">
        <v>1.09364273321189</v>
      </c>
      <c r="T15" s="3" t="n">
        <v>1.5933014354067</v>
      </c>
      <c r="U15" s="16" t="n">
        <v>64662.366</v>
      </c>
      <c r="V15" s="16" t="n">
        <v>12465.324</v>
      </c>
      <c r="W15" s="16" t="n">
        <v>10514.31</v>
      </c>
    </row>
    <row r="16" customFormat="false" ht="14.65" hidden="false" customHeight="false" outlineLevel="0" collapsed="false">
      <c r="A16" s="4" t="s">
        <v>23</v>
      </c>
      <c r="B16" s="22" t="n">
        <f aca="false">79221*($R16^1.83)*($S16^0.786)*($T16^0.00492)*0.439*($U16^-0.561)*($V16^0.225)*($W16^0.179)/1000</f>
        <v>0.0172047877222204</v>
      </c>
      <c r="C16" s="22" t="n">
        <f aca="false">79221*($R16^1.83)*($S16^0.786)*($T16^0.00492)*($U16^0.439)*0.225*($V16^-0.775)*($W16^0.179)/1000</f>
        <v>0.0340223541021219</v>
      </c>
      <c r="D16" s="22" t="n">
        <f aca="false">79221*($R16^1.83)*($S16^0.786)*($T16^0.00492)*($U16^0.439)*($V16^0.225)*0.179*($W16^-0.821)/1000</f>
        <v>0.022816471721514</v>
      </c>
      <c r="E16" s="23" t="n">
        <f aca="false">+(C16*V16+D16*W16)/(V16+W16)</f>
        <v>0.0279420246674391</v>
      </c>
      <c r="F16" s="23"/>
      <c r="G16" s="4" t="s">
        <v>23</v>
      </c>
      <c r="H16" s="22" t="n">
        <f aca="false">73.99*($P16^0.126)*($Q16^-0.326)*($R16^0.473)*($S16^0.605)*($T16^-0.0271)*0.685*($U16^-0.315)*($V16^0.00271)*($W16^0.193)/1000</f>
        <v>0.0080022992218133</v>
      </c>
      <c r="I16" s="22" t="n">
        <f aca="false">73.99*($P16^0.126)*($Q16^-0.326)*($R16^0.473)*($S16^0.605)*($T16^-0.0271)*($U16^0.685)*0.00271*($V16^-0.997)*($W16^0.193)/1000</f>
        <v>0.000122473834762762</v>
      </c>
      <c r="J16" s="22" t="n">
        <f aca="false">73.99*($P16^0.126)*($Q16^-0.326)*($R16^0.473)*($S16^0.605)*($T16^-0.0271)*($U16^0.685)*($V16^0.00271)*0.193*($W16^-0.803)/1000</f>
        <v>0.00761183127711168</v>
      </c>
      <c r="K16" s="22" t="n">
        <f aca="false">+(I16*V16+J16*W16)/(V16+W16)</f>
        <v>0.0041862109825289</v>
      </c>
      <c r="L16" s="16" t="n">
        <v>1102127.36</v>
      </c>
      <c r="M16" s="16" t="n">
        <v>427163</v>
      </c>
      <c r="N16" s="16" t="n">
        <f aca="false">71682*(P16^0.183)*(Q16^-0.643)*(R16^1.92)*(S16^1.176)*(T16^0.0445)*(U16^0.45)*(V16^0.103)*(W16^0.149)</f>
        <v>1074752.7044929</v>
      </c>
      <c r="O16" s="16" t="n">
        <f aca="false">73.99*(P16^0.126)*(Q16^-0.326)*(R16^0.473)*(S16^0.605)*(T16^-0.0271)*(U16^0.685)*(V16^0.00271)*(W16^0.193)</f>
        <v>425576.571614933</v>
      </c>
      <c r="P16" s="3" t="n">
        <v>92374</v>
      </c>
      <c r="Q16" s="3" t="n">
        <v>3.01874639115114</v>
      </c>
      <c r="R16" s="3" t="n">
        <v>0.0525</v>
      </c>
      <c r="S16" s="2" t="n">
        <v>0.931576599853922</v>
      </c>
      <c r="T16" s="3" t="n">
        <v>1.21743753322701</v>
      </c>
      <c r="U16" s="16" t="n">
        <v>36429.524</v>
      </c>
      <c r="V16" s="16" t="n">
        <v>9441.836</v>
      </c>
      <c r="W16" s="16" t="n">
        <v>11200.64</v>
      </c>
    </row>
    <row r="17" customFormat="false" ht="14.65" hidden="false" customHeight="false" outlineLevel="0" collapsed="false">
      <c r="A17" s="4" t="s">
        <v>24</v>
      </c>
      <c r="B17" s="22" t="n">
        <f aca="false">79221*($R17^1.83)*($S17^0.786)*($T17^0.00492)*0.439*($U17^-0.561)*($V17^0.225)*($W17^0.179)/1000</f>
        <v>0.0187708099145133</v>
      </c>
      <c r="C17" s="22" t="n">
        <f aca="false">79221*($R17^1.83)*($S17^0.786)*($T17^0.00492)*($U17^0.439)*0.225*($V17^-0.775)*($W17^0.179)/1000</f>
        <v>0.0462566537513949</v>
      </c>
      <c r="D17" s="22" t="n">
        <f aca="false">79221*($R17^1.83)*($S17^0.786)*($T17^0.00492)*($U17^0.439)*($V17^0.225)*0.179*($W17^-0.821)/1000</f>
        <v>0.0205298204435802</v>
      </c>
      <c r="E17" s="23" t="n">
        <f aca="false">+(C17*V17+D17*W17)/(V17+W17)</f>
        <v>0.0297426468440854</v>
      </c>
      <c r="F17" s="23"/>
      <c r="G17" s="4" t="s">
        <v>24</v>
      </c>
      <c r="H17" s="22" t="n">
        <f aca="false">73.99*($P17^0.126)*($Q17^-0.326)*($R17^0.473)*($S17^0.605)*($T17^-0.0271)*0.685*($U17^-0.315)*($V17^0.00271)*($W17^0.193)/1000</f>
        <v>0.00920480838649602</v>
      </c>
      <c r="I17" s="22" t="n">
        <f aca="false">73.99*($P17^0.126)*($Q17^-0.326)*($R17^0.473)*($S17^0.605)*($T17^-0.0271)*($U17^0.685)*0.00271*($V17^-0.997)*($W17^0.193)/1000</f>
        <v>0.000175501608375807</v>
      </c>
      <c r="J17" s="22" t="n">
        <f aca="false">73.99*($P17^0.126)*($Q17^-0.326)*($R17^0.473)*($S17^0.605)*($T17^-0.0271)*($U17^0.685)*($V17^0.00271)*0.193*($W17^-0.803)/1000</f>
        <v>0.00720113654466824</v>
      </c>
      <c r="K17" s="22" t="n">
        <f aca="false">+(I17*V17+J17*W17)/(V17+W17)</f>
        <v>0.0046852437316291</v>
      </c>
      <c r="L17" s="16" t="n">
        <v>884553.28</v>
      </c>
      <c r="M17" s="16" t="n">
        <v>220813</v>
      </c>
      <c r="N17" s="16" t="n">
        <f aca="false">71682*(P17^0.183)*(Q17^-0.643)*(R17^1.92)*(S17^1.176)*(T17^0.0445)*(U17^0.45)*(V17^0.103)*(W17^0.149)</f>
        <v>575051.748780226</v>
      </c>
      <c r="O17" s="16" t="n">
        <f aca="false">73.99*(P17^0.126)*(Q17^-0.326)*(R17^0.473)*(S17^0.605)*(T17^-0.0271)*(U17^0.685)*(V17^0.00271)*(W17^0.193)</f>
        <v>203385.361054367</v>
      </c>
      <c r="P17" s="3" t="n">
        <v>112708</v>
      </c>
      <c r="Q17" s="3" t="n">
        <v>3.00837164173669</v>
      </c>
      <c r="R17" s="3" t="n">
        <v>0.0525</v>
      </c>
      <c r="S17" s="2" t="n">
        <v>0.890130661593402</v>
      </c>
      <c r="T17" s="3" t="n">
        <v>1.21903242955875</v>
      </c>
      <c r="U17" s="16" t="n">
        <v>15135.456</v>
      </c>
      <c r="V17" s="16" t="n">
        <v>3147.91</v>
      </c>
      <c r="W17" s="16" t="n">
        <v>5642.634</v>
      </c>
    </row>
    <row r="18" customFormat="false" ht="14.65" hidden="false" customHeight="false" outlineLevel="0" collapsed="false">
      <c r="A18" s="5" t="s">
        <v>25</v>
      </c>
      <c r="B18" s="22" t="n">
        <f aca="false">79221*($R18^1.83)*($S18^0.786)*($T18^0.00492)*0.439*($U18^-0.561)*($V18^0.225)*($W18^0.179)/1000</f>
        <v>0.0176018042881993</v>
      </c>
      <c r="C18" s="22" t="n">
        <f aca="false">79221*($R18^1.83)*($S18^0.786)*($T18^0.00492)*($U18^0.439)*0.225*($V18^-0.775)*($W18^0.179)/1000</f>
        <v>0.027585468947062</v>
      </c>
      <c r="D18" s="22" t="n">
        <f aca="false">79221*($R18^1.83)*($S18^0.786)*($T18^0.00492)*($U18^0.439)*($V18^0.225)*0.179*($W18^-0.821)/1000</f>
        <v>0.0369708839632434</v>
      </c>
      <c r="E18" s="23" t="n">
        <f aca="false">+(C18*V18+D18*W18)/(V18+W18)</f>
        <v>0.0310814274502223</v>
      </c>
      <c r="F18" s="23"/>
      <c r="G18" s="5" t="s">
        <v>25</v>
      </c>
      <c r="H18" s="22" t="n">
        <f aca="false">73.99*($P18^0.126)*($Q18^-0.326)*($R18^0.473)*($S18^0.605)*($T18^-0.0271)*0.685*($U18^-0.315)*($V18^0.00271)*($W18^0.193)/1000</f>
        <v>0.00797482920426324</v>
      </c>
      <c r="I18" s="22" t="n">
        <f aca="false">73.99*($P18^0.126)*($Q18^-0.326)*($R18^0.473)*($S18^0.605)*($T18^-0.0271)*($U18^0.685)*0.00271*($V18^-0.997)*($W18^0.193)/1000</f>
        <v>9.67125447652841E-005</v>
      </c>
      <c r="J18" s="22" t="n">
        <f aca="false">73.99*($P18^0.126)*($Q18^-0.326)*($R18^0.473)*($S18^0.605)*($T18^-0.0271)*($U18^0.685)*($V18^0.00271)*0.193*($W18^-0.803)/1000</f>
        <v>0.0119524932925789</v>
      </c>
      <c r="K18" s="22" t="n">
        <f aca="false">+(I18*V18+J18*W18)/(V18+W18)</f>
        <v>0.00451285370053352</v>
      </c>
      <c r="L18" s="16" t="n">
        <v>1030789.71</v>
      </c>
      <c r="M18" s="16" t="n">
        <v>547758</v>
      </c>
      <c r="N18" s="16" t="n">
        <f aca="false">71682*(P18^0.183)*(Q18^-0.643)*(R18^1.92)*(S18^1.176)*(T18^0.0445)*(U18^0.45)*(V18^0.103)*(W18^0.149)</f>
        <v>549123.903764134</v>
      </c>
      <c r="O18" s="16" t="n">
        <f aca="false">73.99*(P18^0.126)*(Q18^-0.326)*(R18^0.473)*(S18^0.605)*(T18^-0.0271)*(U18^0.685)*(V18^0.00271)*(W18^0.193)</f>
        <v>184929.45534213</v>
      </c>
      <c r="P18" s="3" t="n">
        <v>133256</v>
      </c>
      <c r="Q18" s="3" t="n">
        <v>3.00817911689654</v>
      </c>
      <c r="R18" s="3" t="n">
        <v>0.0525</v>
      </c>
      <c r="S18" s="2" t="n">
        <v>0.843752435831185</v>
      </c>
      <c r="T18" s="3" t="n">
        <v>1.29824561403509</v>
      </c>
      <c r="U18" s="16" t="n">
        <v>15884.563</v>
      </c>
      <c r="V18" s="16" t="n">
        <v>5194.815</v>
      </c>
      <c r="W18" s="16" t="n">
        <v>3083.622</v>
      </c>
    </row>
    <row r="19" customFormat="false" ht="14.65" hidden="false" customHeight="false" outlineLevel="0" collapsed="false">
      <c r="A19" s="4" t="s">
        <v>26</v>
      </c>
      <c r="B19" s="22" t="n">
        <f aca="false">79221*($R19^1.83)*($S19^0.786)*($T19^0.00492)*0.439*($U19^-0.561)*($V19^0.225)*($W19^0.179)/1000</f>
        <v>0.0180784181491375</v>
      </c>
      <c r="C19" s="22" t="n">
        <f aca="false">79221*($R19^1.83)*($S19^0.786)*($T19^0.00492)*($U19^0.439)*0.225*($V19^-0.775)*($W19^0.179)/1000</f>
        <v>0.0229217148659922</v>
      </c>
      <c r="D19" s="22" t="n">
        <f aca="false">79221*($R19^1.83)*($S19^0.786)*($T19^0.00492)*($U19^0.439)*($V19^0.225)*0.179*($W19^-0.821)/1000</f>
        <v>0.0304763357792284</v>
      </c>
      <c r="E19" s="23" t="n">
        <f aca="false">+(C19*V19+D19*W19)/(V19+W19)</f>
        <v>0.0257498217549488</v>
      </c>
      <c r="F19" s="23"/>
      <c r="G19" s="4" t="s">
        <v>26</v>
      </c>
      <c r="H19" s="22" t="n">
        <f aca="false">73.99*($P19^0.126)*($Q19^-0.326)*($R19^0.473)*($S19^0.605)*($T19^-0.0271)*0.685*($U19^-0.315)*($V19^0.00271)*($W19^0.193)/1000</f>
        <v>0.00745996538453738</v>
      </c>
      <c r="I19" s="22" t="n">
        <f aca="false">73.99*($P19^0.126)*($Q19^-0.326)*($R19^0.473)*($S19^0.605)*($T19^-0.0271)*($U19^0.685)*0.00271*($V19^-0.997)*($W19^0.193)/1000</f>
        <v>7.32041505151879E-005</v>
      </c>
      <c r="J19" s="22" t="n">
        <f aca="false">73.99*($P19^0.126)*($Q19^-0.326)*($R19^0.473)*($S19^0.605)*($T19^-0.0271)*($U19^0.685)*($V19^0.00271)*0.193*($W19^-0.803)/1000</f>
        <v>0.00899513825333873</v>
      </c>
      <c r="K19" s="22" t="n">
        <f aca="false">+(I19*V19+J19*W19)/(V19+W19)</f>
        <v>0.0034131709852247</v>
      </c>
      <c r="L19" s="16" t="e">
        <f aca="false">#REF!</f>
        <v>#VALUE!</v>
      </c>
      <c r="M19" s="16" t="e">
        <f aca="false">#REF!</f>
        <v>#VALUE!</v>
      </c>
      <c r="N19" s="16" t="n">
        <f aca="false">71682*(P19^0.183)*(Q19^-0.643)*(R19^1.92)*(S19^1.176)*(T19^0.0445)*(U19^0.45)*(V19^0.103)*(W19^0.149)</f>
        <v>687612.850391317</v>
      </c>
      <c r="O19" s="16" t="n">
        <f aca="false">73.99*(P19^0.126)*(Q19^-0.326)*(R19^0.473)*(S19^0.605)*(T19^-0.0271)*(U19^0.685)*(V19^0.00271)*(W19^0.193)</f>
        <v>251814.268007659</v>
      </c>
      <c r="P19" s="3" t="n">
        <v>72632</v>
      </c>
      <c r="Q19" s="3" t="n">
        <v>3.01516923518577</v>
      </c>
      <c r="R19" s="3" t="n">
        <v>0.0515</v>
      </c>
      <c r="S19" s="2" t="n">
        <v>0.880008429780219</v>
      </c>
      <c r="T19" s="3" t="n">
        <v>1.5103668261563</v>
      </c>
      <c r="U19" s="16" t="n">
        <v>23122.463</v>
      </c>
      <c r="V19" s="16" t="n">
        <v>9346.853</v>
      </c>
      <c r="W19" s="16" t="n">
        <v>5592.684</v>
      </c>
    </row>
    <row r="20" customFormat="false" ht="14.65" hidden="false" customHeight="false" outlineLevel="0" collapsed="false">
      <c r="A20" s="4" t="s">
        <v>27</v>
      </c>
      <c r="B20" s="22" t="n">
        <f aca="false">79221*($R20^1.83)*($S20^0.786)*($T20^0.00492)*0.439*($U20^-0.561)*($V20^0.225)*($W20^0.179)/1000</f>
        <v>0.022831511385424</v>
      </c>
      <c r="C20" s="22" t="n">
        <f aca="false">79221*($R20^1.83)*($S20^0.786)*($T20^0.00492)*($U20^0.439)*0.225*($V20^-0.775)*($W20^0.179)/1000</f>
        <v>0.0271119593743845</v>
      </c>
      <c r="D20" s="22" t="n">
        <f aca="false">79221*($R20^1.83)*($S20^0.786)*($T20^0.00492)*($U20^0.439)*($V20^0.225)*0.179*($W20^-0.821)/1000</f>
        <v>0.0414245604474732</v>
      </c>
      <c r="E20" s="23" t="n">
        <f aca="false">+(C20*V20+D20*W20)/(V20+W20)</f>
        <v>0.0320126055399564</v>
      </c>
      <c r="F20" s="23"/>
      <c r="G20" s="4" t="s">
        <v>27</v>
      </c>
      <c r="H20" s="22" t="n">
        <f aca="false">73.99*($P20^0.126)*($Q20^-0.326)*($R20^0.473)*($S20^0.605)*($T20^-0.0271)*0.685*($U20^-0.315)*($V20^0.00271)*($W20^0.193)/1000</f>
        <v>0.00748658219486753</v>
      </c>
      <c r="I20" s="22" t="n">
        <f aca="false">73.99*($P20^0.126)*($Q20^-0.326)*($R20^0.473)*($S20^0.605)*($T20^-0.0271)*($U20^0.685)*0.00271*($V20^-0.997)*($W20^0.193)/1000</f>
        <v>6.88041724563605E-005</v>
      </c>
      <c r="J20" s="22" t="n">
        <f aca="false">73.99*($P20^0.126)*($Q20^-0.326)*($R20^0.473)*($S20^0.605)*($T20^-0.0271)*($U20^0.685)*($V20^0.00271)*0.193*($W20^-0.803)/1000</f>
        <v>0.00970808617870398</v>
      </c>
      <c r="K20" s="22" t="n">
        <f aca="false">+(I20*V20+J20*W20)/(V20+W20)</f>
        <v>0.00336930211560135</v>
      </c>
      <c r="L20" s="16" t="n">
        <v>1243192.932</v>
      </c>
      <c r="M20" s="16" t="n">
        <v>274125</v>
      </c>
      <c r="N20" s="16" t="n">
        <f aca="false">71682*(P20^0.183)*(Q20^-0.643)*(R20^1.92)*(S20^1.176)*(T20^0.0445)*(U20^0.45)*(V20^0.103)*(W20^0.149)</f>
        <v>739096.432908558</v>
      </c>
      <c r="O20" s="16" t="n">
        <f aca="false">73.99*(P20^0.126)*(Q20^-0.326)*(R20^0.473)*(S20^0.605)*(T20^-0.0271)*(U20^0.685)*(V20^0.00271)*(W20^0.193)</f>
        <v>223391.022251628</v>
      </c>
      <c r="P20" s="3" t="n">
        <v>59599</v>
      </c>
      <c r="Q20" s="3" t="n">
        <v>3.01930060058751</v>
      </c>
      <c r="R20" s="3" t="n">
        <v>0.0595</v>
      </c>
      <c r="S20" s="2" t="n">
        <v>0.823876053361664</v>
      </c>
      <c r="T20" s="3" t="n">
        <v>1.52153110047847</v>
      </c>
      <c r="U20" s="16" t="n">
        <v>20439.614</v>
      </c>
      <c r="V20" s="16" t="n">
        <v>8821.947</v>
      </c>
      <c r="W20" s="16" t="n">
        <v>4593.439</v>
      </c>
    </row>
    <row r="21" customFormat="false" ht="14.65" hidden="false" customHeight="false" outlineLevel="0" collapsed="false">
      <c r="A21" s="4" t="s">
        <v>28</v>
      </c>
      <c r="B21" s="22" t="n">
        <f aca="false">79221*($R21^1.83)*($S21^0.786)*($T21^0.00492)*0.439*($U21^-0.561)*($V21^0.225)*($W21^0.179)/1000</f>
        <v>0.0194791519760314</v>
      </c>
      <c r="C21" s="22" t="n">
        <f aca="false">79221*($R21^1.83)*($S21^0.786)*($T21^0.00492)*($U21^0.439)*0.225*($V21^-0.775)*($W21^0.179)/1000</f>
        <v>0.0262110607238915</v>
      </c>
      <c r="D21" s="22" t="n">
        <f aca="false">79221*($R21^1.83)*($S21^0.786)*($T21^0.00492)*($U21^0.439)*($V21^0.225)*0.179*($W21^-0.821)/1000</f>
        <v>0.0562581224353349</v>
      </c>
      <c r="E21" s="23" t="n">
        <f aca="false">+(C21*V21+D21*W21)/(V21+W21)</f>
        <v>0.0343364415777573</v>
      </c>
      <c r="F21" s="23"/>
      <c r="G21" s="4" t="s">
        <v>28</v>
      </c>
      <c r="H21" s="22" t="n">
        <f aca="false">73.99*($P21^0.126)*($Q21^-0.326)*($R21^0.473)*($S21^0.605)*($T21^-0.0271)*0.685*($U21^-0.315)*($V21^0.00271)*($W21^0.193)/1000</f>
        <v>0.0067010565461665</v>
      </c>
      <c r="I21" s="22" t="n">
        <f aca="false">73.99*($P21^0.126)*($Q21^-0.326)*($R21^0.473)*($S21^0.605)*($T21^-0.0271)*($U21^0.685)*0.00271*($V21^-0.997)*($W21^0.193)/1000</f>
        <v>6.97635575357318E-005</v>
      </c>
      <c r="J21" s="22" t="n">
        <f aca="false">73.99*($P21^0.126)*($Q21^-0.326)*($R21^0.473)*($S21^0.605)*($T21^-0.0271)*($U21^0.685)*($V21^0.00271)*0.193*($W21^-0.803)/1000</f>
        <v>0.0137544901401132</v>
      </c>
      <c r="K21" s="22" t="n">
        <f aca="false">+(I21*V21+J21*W21)/(V21+W21)</f>
        <v>0.00377041210787688</v>
      </c>
      <c r="L21" s="16" t="n">
        <v>293390.23</v>
      </c>
      <c r="M21" s="16" t="n">
        <v>135964</v>
      </c>
      <c r="N21" s="16" t="n">
        <f aca="false">71682*(P21^0.183)*(Q21^-0.643)*(R21^1.92)*(S21^1.176)*(T21^0.0445)*(U21^0.45)*(V21^0.103)*(W21^0.149)</f>
        <v>246099.058447779</v>
      </c>
      <c r="O21" s="16" t="n">
        <f aca="false">73.99*(P21^0.126)*(Q21^-0.326)*(R21^0.473)*(S21^0.605)*(T21^-0.0271)*(U21^0.685)*(V21^0.00271)*(W21^0.193)</f>
        <v>78096.0597193203</v>
      </c>
      <c r="P21" s="3" t="n">
        <v>22510</v>
      </c>
      <c r="Q21" s="3" t="n">
        <v>3.01900590827789</v>
      </c>
      <c r="R21" s="3" t="n">
        <v>0.0515</v>
      </c>
      <c r="S21" s="2" t="n">
        <v>0.900547358332058</v>
      </c>
      <c r="T21" s="3" t="n">
        <v>1.30409356725146</v>
      </c>
      <c r="U21" s="16" t="n">
        <v>7983.189</v>
      </c>
      <c r="V21" s="16" t="n">
        <v>3040.744</v>
      </c>
      <c r="W21" s="16" t="n">
        <v>1127.067</v>
      </c>
    </row>
    <row r="22" customFormat="false" ht="14.65" hidden="false" customHeight="false" outlineLevel="0" collapsed="false">
      <c r="A22" s="5" t="s">
        <v>29</v>
      </c>
      <c r="B22" s="22" t="n">
        <f aca="false">79221*($R22^1.83)*($S22^0.786)*($T22^0.00492)*0.439*($U22^-0.561)*($V22^0.225)*($W22^0.179)/1000</f>
        <v>0.0170971996528428</v>
      </c>
      <c r="C22" s="22" t="n">
        <f aca="false">79221*($R22^1.83)*($S22^0.786)*($T22^0.00492)*($U22^0.439)*0.225*($V22^-0.775)*($W22^0.179)/1000</f>
        <v>0.0199137892319188</v>
      </c>
      <c r="D22" s="22" t="n">
        <f aca="false">79221*($R22^1.83)*($S22^0.786)*($T22^0.00492)*($U22^0.439)*($V22^0.225)*0.179*($W22^-0.821)/1000</f>
        <v>0.0677424380936358</v>
      </c>
      <c r="E22" s="23" t="n">
        <f aca="false">+(C22*V22+D22*W22)/(V22+W22)</f>
        <v>0.0289791349912147</v>
      </c>
      <c r="F22" s="23"/>
      <c r="G22" s="5" t="s">
        <v>29</v>
      </c>
      <c r="H22" s="22" t="n">
        <f aca="false">73.99*($P22^0.126)*($Q22^-0.326)*($R22^0.473)*($S22^0.605)*($T22^-0.0271)*0.685*($U22^-0.315)*($V22^0.00271)*($W22^0.193)/1000</f>
        <v>0.00644409537355079</v>
      </c>
      <c r="I22" s="22" t="n">
        <f aca="false">73.99*($P22^0.126)*($Q22^-0.326)*($R22^0.473)*($S22^0.605)*($T22^-0.0271)*($U22^0.685)*0.00271*($V22^-0.997)*($W22^0.193)/1000</f>
        <v>5.80943670236766E-005</v>
      </c>
      <c r="J22" s="22" t="n">
        <f aca="false">73.99*($P22^0.126)*($Q22^-0.326)*($R22^0.473)*($S22^0.605)*($T22^-0.0271)*($U22^0.685)*($V22^0.00271)*0.193*($W22^-0.803)/1000</f>
        <v>0.018212146051489</v>
      </c>
      <c r="K22" s="22" t="n">
        <f aca="false">+(I22*V22+J22*W22)/(V22+W22)</f>
        <v>0.00349897675380448</v>
      </c>
      <c r="L22" s="16" t="n">
        <v>1041502.14</v>
      </c>
      <c r="M22" s="16" t="n">
        <v>370725</v>
      </c>
      <c r="N22" s="16" t="n">
        <f aca="false">71682*(P22^0.183)*(Q22^-0.643)*(R22^1.92)*(S22^1.176)*(T22^0.0445)*(U22^0.45)*(V22^0.103)*(W22^0.149)</f>
        <v>711625.76076812</v>
      </c>
      <c r="O22" s="16" t="n">
        <f aca="false">73.99*(P22^0.126)*(Q22^-0.326)*(R22^0.473)*(S22^0.605)*(T22^-0.0271)*(U22^0.685)*(V22^0.00271)*(W22^0.193)</f>
        <v>255442.585936409</v>
      </c>
      <c r="P22" s="3" t="n">
        <v>29313</v>
      </c>
      <c r="Q22" s="3" t="n">
        <v>3.06968868614359</v>
      </c>
      <c r="R22" s="3" t="n">
        <v>0.0475</v>
      </c>
      <c r="S22" s="2" t="n">
        <v>1.21209124948396</v>
      </c>
      <c r="T22" s="3" t="n">
        <v>1.39287612971824</v>
      </c>
      <c r="U22" s="16" t="n">
        <v>27153.256</v>
      </c>
      <c r="V22" s="16" t="n">
        <v>11948.434</v>
      </c>
      <c r="W22" s="16" t="n">
        <v>2794.31</v>
      </c>
    </row>
    <row r="23" customFormat="false" ht="14.65" hidden="false" customHeight="false" outlineLevel="0" collapsed="false">
      <c r="A23" s="4" t="s">
        <v>30</v>
      </c>
      <c r="B23" s="22" t="n">
        <f aca="false">79221*($R23^1.83)*($S23^0.786)*($T23^0.00492)*0.439*($U23^-0.561)*($V23^0.225)*($W23^0.179)/1000</f>
        <v>0.013527481428793</v>
      </c>
      <c r="C23" s="22" t="n">
        <f aca="false">79221*($R23^1.83)*($S23^0.786)*($T23^0.00492)*($U23^0.439)*0.225*($V23^-0.775)*($W23^0.179)/1000</f>
        <v>0.048874281687421</v>
      </c>
      <c r="D23" s="22" t="n">
        <f aca="false">79221*($R23^1.83)*($S23^0.786)*($T23^0.00492)*($U23^0.439)*($V23^0.225)*0.179*($W23^-0.821)/1000</f>
        <v>0.0972389619604142</v>
      </c>
      <c r="E23" s="23" t="n">
        <f aca="false">+(C23*V23+D23*W23)/(V23+W23)</f>
        <v>0.0626893664441786</v>
      </c>
      <c r="F23" s="23"/>
      <c r="G23" s="4" t="s">
        <v>30</v>
      </c>
      <c r="H23" s="22" t="n">
        <f aca="false">73.99*($P23^0.126)*($Q23^-0.326)*($R23^0.473)*($S23^0.605)*($T23^-0.0271)*0.685*($U23^-0.315)*($V23^0.00271)*($W23^0.193)/1000</f>
        <v>0.00566363295542729</v>
      </c>
      <c r="I23" s="22" t="n">
        <f aca="false">73.99*($P23^0.126)*($Q23^-0.326)*($R23^0.473)*($S23^0.605)*($T23^-0.0271)*($U23^0.685)*0.00271*($V23^-0.997)*($W23^0.193)/1000</f>
        <v>0.000158345718312857</v>
      </c>
      <c r="J23" s="22" t="n">
        <f aca="false">73.99*($P23^0.126)*($Q23^-0.326)*($R23^0.473)*($S23^0.605)*($T23^-0.0271)*($U23^0.685)*($V23^0.00271)*0.193*($W23^-0.803)/1000</f>
        <v>0.029013377629471</v>
      </c>
      <c r="K23" s="22" t="n">
        <f aca="false">+(I23*V23+J23*W23)/(V23+W23)</f>
        <v>0.00840061485482966</v>
      </c>
      <c r="L23" s="16" t="e">
        <f aca="false">#REF!</f>
        <v>#VALUE!</v>
      </c>
      <c r="M23" s="16" t="e">
        <f aca="false">#REF!</f>
        <v>#VALUE!</v>
      </c>
      <c r="N23" s="16" t="n">
        <f aca="false">71682*(P23^0.183)*(Q23^-0.643)*(R23^1.92)*(S23^1.176)*(T23^0.0445)*(U23^0.45)*(V23^0.103)*(W23^0.149)</f>
        <v>913185.368780632</v>
      </c>
      <c r="O23" s="16" t="n">
        <f aca="false">73.99*(P23^0.126)*(Q23^-0.326)*(R23^0.473)*(S23^0.605)*(T23^-0.0271)*(U23^0.685)*(V23^0.00271)*(W23^0.193)</f>
        <v>326616.718620798</v>
      </c>
      <c r="P23" s="3" t="n">
        <v>30563</v>
      </c>
      <c r="Q23" s="3" t="n">
        <v>3.07337880538279</v>
      </c>
      <c r="R23" s="3" t="n">
        <v>0.0535</v>
      </c>
      <c r="S23" s="2" t="n">
        <v>1.16346772866501</v>
      </c>
      <c r="T23" s="3" t="n">
        <v>1.53960659223817</v>
      </c>
      <c r="U23" s="16" t="n">
        <v>39503.346</v>
      </c>
      <c r="V23" s="16" t="n">
        <v>5603.875</v>
      </c>
      <c r="W23" s="16" t="n">
        <v>2240.779</v>
      </c>
    </row>
    <row r="24" customFormat="false" ht="14.65" hidden="false" customHeight="false" outlineLevel="0" collapsed="false">
      <c r="A24" s="4" t="s">
        <v>31</v>
      </c>
      <c r="B24" s="22" t="n">
        <f aca="false">79221*($R24^1.83)*($S24^0.786)*($T24^0.00492)*0.439*($U24^-0.561)*($V24^0.225)*($W24^0.179)/1000</f>
        <v>0.0158454038014955</v>
      </c>
      <c r="C24" s="22" t="n">
        <f aca="false">79221*($R24^1.83)*($S24^0.786)*($T24^0.00492)*($U24^0.439)*0.225*($V24^-0.775)*($W24^0.179)/1000</f>
        <v>0.0307262876580951</v>
      </c>
      <c r="D24" s="22" t="n">
        <f aca="false">79221*($R24^1.83)*($S24^0.786)*($T24^0.00492)*($U24^0.439)*($V24^0.225)*0.179*($W24^-0.821)/1000</f>
        <v>0.0563163934689518</v>
      </c>
      <c r="E24" s="23" t="n">
        <f aca="false">+(C24*V24+D24*W24)/(V24+W24)</f>
        <v>0.0384718283366415</v>
      </c>
      <c r="F24" s="23"/>
      <c r="G24" s="4" t="s">
        <v>31</v>
      </c>
      <c r="H24" s="22" t="n">
        <f aca="false">73.99*($P24^0.126)*($Q24^-0.326)*($R24^0.473)*($S24^0.605)*($T24^-0.0271)*0.685*($U24^-0.315)*($V24^0.00271)*($W24^0.193)/1000</f>
        <v>0.00715122942367988</v>
      </c>
      <c r="I24" s="22" t="n">
        <f aca="false">73.99*($P24^0.126)*($Q24^-0.326)*($R24^0.473)*($S24^0.605)*($T24^-0.0271)*($U24^0.685)*0.00271*($V24^-0.997)*($W24^0.193)/1000</f>
        <v>0.000107341712128751</v>
      </c>
      <c r="J24" s="22" t="n">
        <f aca="false">73.99*($P24^0.126)*($Q24^-0.326)*($R24^0.473)*($S24^0.605)*($T24^-0.0271)*($U24^0.685)*($V24^0.00271)*0.193*($W24^-0.803)/1000</f>
        <v>0.0181958534637798</v>
      </c>
      <c r="K24" s="22" t="n">
        <f aca="false">+(I24*V24+J24*W24)/(V24+W24)</f>
        <v>0.00558232116795176</v>
      </c>
      <c r="L24" s="16" t="n">
        <v>1708469.162</v>
      </c>
      <c r="M24" s="16" t="n">
        <v>501791</v>
      </c>
      <c r="N24" s="16" t="n">
        <f aca="false">71682*(P24^0.183)*(Q24^-0.643)*(R24^1.92)*(S24^1.176)*(T24^0.0445)*(U24^0.45)*(V24^0.103)*(W24^0.149)</f>
        <v>1785085.12253217</v>
      </c>
      <c r="O24" s="16" t="n">
        <f aca="false">73.99*(P24^0.126)*(Q24^-0.326)*(R24^0.473)*(S24^0.605)*(T24^-0.0271)*(U24^0.685)*(V24^0.00271)*(W24^0.193)</f>
        <v>637566.481221051</v>
      </c>
      <c r="P24" s="3" t="n">
        <v>117659</v>
      </c>
      <c r="Q24" s="3" t="n">
        <v>3.02131545662924</v>
      </c>
      <c r="R24" s="3" t="n">
        <v>0.0535</v>
      </c>
      <c r="S24" s="2" t="n">
        <v>1.10696727108961</v>
      </c>
      <c r="T24" s="3" t="n">
        <v>1.41626794258373</v>
      </c>
      <c r="U24" s="16" t="n">
        <v>61071.043</v>
      </c>
      <c r="V24" s="16" t="n">
        <v>16141.599</v>
      </c>
      <c r="W24" s="16" t="n">
        <v>7006.358</v>
      </c>
    </row>
    <row r="25" customFormat="false" ht="14.65" hidden="false" customHeight="false" outlineLevel="0" collapsed="false">
      <c r="A25" s="4" t="s">
        <v>32</v>
      </c>
      <c r="B25" s="22" t="n">
        <f aca="false">79221*($R25^1.83)*($S25^0.786)*($T25^0.00492)*0.439*($U25^-0.561)*($V25^0.225)*($W25^0.179)/1000</f>
        <v>0.0123172809395717</v>
      </c>
      <c r="C25" s="22" t="n">
        <f aca="false">79221*($R25^1.83)*($S25^0.786)*($T25^0.00492)*($U25^0.439)*0.225*($V25^-0.775)*($W25^0.179)/1000</f>
        <v>0.0400162682807271</v>
      </c>
      <c r="D25" s="22" t="n">
        <f aca="false">79221*($R25^1.83)*($S25^0.786)*($T25^0.00492)*($U25^0.439)*($V25^0.225)*0.179*($W25^-0.821)/1000</f>
        <v>0.053091645714221</v>
      </c>
      <c r="E25" s="23" t="n">
        <f aca="false">+(C25*V25+D25*W25)/(V25+W25)</f>
        <v>0.0449176273544884</v>
      </c>
      <c r="F25" s="23"/>
      <c r="G25" s="4" t="s">
        <v>32</v>
      </c>
      <c r="H25" s="22" t="n">
        <f aca="false">73.99*($P25^0.126)*($Q25^-0.326)*($R25^0.473)*($S25^0.605)*($T25^-0.0271)*0.685*($U25^-0.315)*($V25^0.00271)*($W25^0.193)/1000</f>
        <v>0.00700215662992868</v>
      </c>
      <c r="I25" s="22" t="n">
        <f aca="false">73.99*($P25^0.126)*($Q25^-0.326)*($R25^0.473)*($S25^0.605)*($T25^-0.0271)*($U25^0.685)*0.00271*($V25^-0.997)*($W25^0.193)/1000</f>
        <v>0.000176031975699693</v>
      </c>
      <c r="J25" s="22" t="n">
        <f aca="false">73.99*($P25^0.126)*($Q25^-0.326)*($R25^0.473)*($S25^0.605)*($T25^-0.0271)*($U25^0.685)*($V25^0.00271)*0.193*($W25^-0.803)/1000</f>
        <v>0.0215373353714708</v>
      </c>
      <c r="K25" s="22" t="n">
        <f aca="false">+(I25*V25+J25*W25)/(V25+W25)</f>
        <v>0.00818340451685737</v>
      </c>
      <c r="L25" s="16" t="n">
        <v>1222271.538</v>
      </c>
      <c r="M25" s="16" t="n">
        <v>425256</v>
      </c>
      <c r="N25" s="16" t="n">
        <f aca="false">71682*(P25^0.183)*(Q25^-0.643)*(R25^1.92)*(S25^1.176)*(T25^0.0445)*(U25^0.45)*(V25^0.103)*(W25^0.149)</f>
        <v>850297.755277479</v>
      </c>
      <c r="O25" s="16" t="n">
        <f aca="false">73.99*(P25^0.126)*(Q25^-0.326)*(R25^0.473)*(S25^0.605)*(T25^-0.0271)*(U25^0.685)*(V25^0.00271)*(W25^0.193)</f>
        <v>335977.090976432</v>
      </c>
      <c r="P25" s="3" t="n">
        <v>129959</v>
      </c>
      <c r="Q25" s="3" t="n">
        <v>3.00991585871892</v>
      </c>
      <c r="R25" s="3" t="n">
        <v>0.0495</v>
      </c>
      <c r="S25" s="2" t="n">
        <v>1.03254126117595</v>
      </c>
      <c r="T25" s="3" t="n">
        <v>1.02498670919724</v>
      </c>
      <c r="U25" s="16" t="n">
        <v>32867.632</v>
      </c>
      <c r="V25" s="16" t="n">
        <v>5185.19</v>
      </c>
      <c r="W25" s="16" t="n">
        <v>3109.178</v>
      </c>
    </row>
    <row r="26" customFormat="false" ht="14.65" hidden="false" customHeight="false" outlineLevel="0" collapsed="false">
      <c r="A26" s="5" t="s">
        <v>33</v>
      </c>
      <c r="B26" s="22" t="n">
        <f aca="false">79221*($R26^1.83)*($S26^0.786)*($T26^0.00492)*0.439*($U26^-0.561)*($V26^0.225)*($W26^0.179)/1000</f>
        <v>0.0156854906157763</v>
      </c>
      <c r="C26" s="22" t="n">
        <f aca="false">79221*($R26^1.83)*($S26^0.786)*($T26^0.00492)*($U26^0.439)*0.225*($V26^-0.775)*($W26^0.179)/1000</f>
        <v>0.0310589982720562</v>
      </c>
      <c r="D26" s="22" t="n">
        <f aca="false">79221*($R26^1.83)*($S26^0.786)*($T26^0.00492)*($U26^0.439)*($V26^0.225)*0.179*($W26^-0.821)/1000</f>
        <v>0.0234564724307027</v>
      </c>
      <c r="E26" s="23" t="n">
        <f aca="false">+(C26*V26+D26*W26)/(V26+W26)</f>
        <v>0.0271588725423919</v>
      </c>
      <c r="F26" s="23"/>
      <c r="G26" s="5" t="s">
        <v>33</v>
      </c>
      <c r="H26" s="22" t="n">
        <f aca="false">73.99*($P26^0.126)*($Q26^-0.326)*($R26^0.473)*($S26^0.605)*($T26^-0.0271)*0.685*($U26^-0.315)*($V26^0.00271)*($W26^0.193)/1000</f>
        <v>0.00726093846012628</v>
      </c>
      <c r="I26" s="22" t="n">
        <f aca="false">73.99*($P26^0.126)*($Q26^-0.326)*($R26^0.473)*($S26^0.605)*($T26^-0.0271)*($U26^0.685)*0.00271*($V26^-0.997)*($W26^0.193)/1000</f>
        <v>0.000111250098418132</v>
      </c>
      <c r="J26" s="22" t="n">
        <f aca="false">73.99*($P26^0.126)*($Q26^-0.326)*($R26^0.473)*($S26^0.605)*($T26^-0.0271)*($U26^0.685)*($V26^0.00271)*0.193*($W26^-0.803)/1000</f>
        <v>0.00776092331753165</v>
      </c>
      <c r="K26" s="22" t="n">
        <f aca="false">+(I26*V26+J26*W26)/(V26+W26)</f>
        <v>0.0040355626187525</v>
      </c>
      <c r="L26" s="16" t="n">
        <v>550037.388</v>
      </c>
      <c r="M26" s="16" t="n">
        <v>135813</v>
      </c>
      <c r="N26" s="16" t="n">
        <f aca="false">71682*(P26^0.183)*(Q26^-0.643)*(R26^1.92)*(S26^1.176)*(T26^0.0445)*(U26^0.45)*(V26^0.103)*(W26^0.149)</f>
        <v>460551.682296221</v>
      </c>
      <c r="O26" s="16" t="n">
        <f aca="false">73.99*(P26^0.126)*(Q26^-0.326)*(R26^0.473)*(S26^0.605)*(T26^-0.0271)*(U26^0.685)*(V26^0.00271)*(W26^0.193)</f>
        <v>181606.956995493</v>
      </c>
      <c r="P26" s="3" t="n">
        <v>72834</v>
      </c>
      <c r="Q26" s="3" t="n">
        <v>3.00995414229618</v>
      </c>
      <c r="R26" s="3" t="n">
        <v>0.0515</v>
      </c>
      <c r="S26" s="2" t="n">
        <v>0.764762219572679</v>
      </c>
      <c r="T26" s="3" t="n">
        <v>1.55077086656034</v>
      </c>
      <c r="U26" s="16" t="n">
        <v>17132.877</v>
      </c>
      <c r="V26" s="16" t="n">
        <v>4434.646</v>
      </c>
      <c r="W26" s="16" t="n">
        <v>4671.477</v>
      </c>
    </row>
    <row r="27" customFormat="false" ht="14.65" hidden="false" customHeight="false" outlineLevel="0" collapsed="false">
      <c r="A27" s="4" t="s">
        <v>34</v>
      </c>
      <c r="B27" s="22" t="n">
        <f aca="false">79221*($R27^1.83)*($S27^0.786)*($T27^0.00492)*0.439*($U27^-0.561)*($V27^0.225)*($W27^0.179)/1000</f>
        <v>0.0119400783547959</v>
      </c>
      <c r="C27" s="22" t="n">
        <f aca="false">79221*($R27^1.83)*($S27^0.786)*($T27^0.00492)*($U27^0.439)*0.225*($V27^-0.775)*($W27^0.179)/1000</f>
        <v>0.0331405048170191</v>
      </c>
      <c r="D27" s="22" t="n">
        <f aca="false">79221*($R27^1.83)*($S27^0.786)*($T27^0.00492)*($U27^0.439)*($V27^0.225)*0.179*($W27^-0.821)/1000</f>
        <v>0.0249234791625174</v>
      </c>
      <c r="E27" s="23" t="n">
        <f aca="false">+(C27*V27+D27*W27)/(V27+W27)</f>
        <v>0.0289165088043252</v>
      </c>
      <c r="F27" s="23"/>
      <c r="G27" s="4" t="s">
        <v>34</v>
      </c>
      <c r="H27" s="22" t="n">
        <f aca="false">73.99*($P27^0.126)*($Q27^-0.326)*($R27^0.473)*($S27^0.605)*($T27^-0.0271)*0.685*($U27^-0.315)*($V27^0.00271)*($W27^0.193)/1000</f>
        <v>0.00709530350676612</v>
      </c>
      <c r="I27" s="22" t="n">
        <f aca="false">73.99*($P27^0.126)*($Q27^-0.326)*($R27^0.473)*($S27^0.605)*($T27^-0.0271)*($U27^0.685)*0.00271*($V27^-0.997)*($W27^0.193)/1000</f>
        <v>0.000152405614220401</v>
      </c>
      <c r="J27" s="22" t="n">
        <f aca="false">73.99*($P27^0.126)*($Q27^-0.326)*($R27^0.473)*($S27^0.605)*($T27^-0.0271)*($U27^0.685)*($V27^0.00271)*0.193*($W27^-0.803)/1000</f>
        <v>0.0106061982616056</v>
      </c>
      <c r="K27" s="22" t="n">
        <f aca="false">+(I27*V27+J27*W27)/(V27+W27)</f>
        <v>0.00552622094798336</v>
      </c>
      <c r="L27" s="16" t="n">
        <v>1112379.19</v>
      </c>
      <c r="M27" s="16" t="n">
        <v>457183</v>
      </c>
      <c r="N27" s="16" t="n">
        <f aca="false">71682*(P27^0.183)*(Q27^-0.643)*(R27^1.92)*(S27^1.176)*(T27^0.0445)*(U27^0.45)*(V27^0.103)*(W27^0.149)</f>
        <v>858085.758567997</v>
      </c>
      <c r="O27" s="16" t="n">
        <f aca="false">73.99*(P27^0.126)*(Q27^-0.326)*(R27^0.473)*(S27^0.605)*(T27^-0.0271)*(U27^0.685)*(V27^0.00271)*(W27^0.193)</f>
        <v>399719.236762719</v>
      </c>
      <c r="P27" s="3" t="n">
        <v>121787</v>
      </c>
      <c r="Q27" s="3" t="n">
        <v>3.01485535224272</v>
      </c>
      <c r="R27" s="3" t="n">
        <v>0.0475</v>
      </c>
      <c r="S27" s="2" t="n">
        <v>0.913098925780404</v>
      </c>
      <c r="T27" s="3" t="n">
        <v>1.25146198830409</v>
      </c>
      <c r="U27" s="16" t="n">
        <v>38589.988</v>
      </c>
      <c r="V27" s="16" t="n">
        <v>7125.916</v>
      </c>
      <c r="W27" s="16" t="n">
        <v>7538.096</v>
      </c>
    </row>
    <row r="28" customFormat="false" ht="14.65" hidden="false" customHeight="false" outlineLevel="0" collapsed="false">
      <c r="A28" s="4" t="s">
        <v>35</v>
      </c>
      <c r="B28" s="22" t="n">
        <f aca="false">79221*($R28^1.83)*($S28^0.786)*($T28^0.00492)*0.439*($U28^-0.561)*($V28^0.225)*($W28^0.179)/1000</f>
        <v>0.0244357608731498</v>
      </c>
      <c r="C28" s="22" t="n">
        <f aca="false">79221*($R28^1.83)*($S28^0.786)*($T28^0.00492)*($U28^0.439)*0.225*($V28^-0.775)*($W28^0.179)/1000</f>
        <v>0.0239651524924449</v>
      </c>
      <c r="D28" s="22" t="n">
        <f aca="false">79221*($R28^1.83)*($S28^0.786)*($T28^0.00492)*($U28^0.439)*($V28^0.225)*0.179*($W28^-0.821)/1000</f>
        <v>0.040374024923014</v>
      </c>
      <c r="E28" s="23" t="n">
        <f aca="false">+(C28*V28+D28*W28)/(V28+W28)</f>
        <v>0.0292283941828112</v>
      </c>
      <c r="F28" s="23"/>
      <c r="G28" s="4" t="s">
        <v>35</v>
      </c>
      <c r="H28" s="22" t="n">
        <f aca="false">73.99*($P28^0.126)*($Q28^-0.326)*($R28^0.473)*($S28^0.605)*($T28^-0.0271)*0.685*($U28^-0.315)*($V28^0.00271)*($W28^0.193)/1000</f>
        <v>0.00899484471324235</v>
      </c>
      <c r="I28" s="22" t="n">
        <f aca="false">73.99*($P28^0.126)*($Q28^-0.326)*($R28^0.473)*($S28^0.605)*($T28^-0.0271)*($U28^0.685)*0.00271*($V28^-0.997)*($W28^0.193)/1000</f>
        <v>6.8248800520277E-005</v>
      </c>
      <c r="J28" s="22" t="n">
        <f aca="false">73.99*($P28^0.126)*($Q28^-0.326)*($R28^0.473)*($S28^0.605)*($T28^-0.0271)*($U28^0.685)*($V28^0.00271)*0.193*($W28^-0.803)/1000</f>
        <v>0.010564497021968</v>
      </c>
      <c r="K28" s="22" t="n">
        <f aca="false">+(I28*V28+J28*W28)/(V28+W28)</f>
        <v>0.00343498173511475</v>
      </c>
      <c r="L28" s="16" t="n">
        <v>312090.338</v>
      </c>
      <c r="M28" s="16" t="n">
        <v>54668</v>
      </c>
      <c r="N28" s="16" t="n">
        <f aca="false">71682*(P28^0.183)*(Q28^-0.643)*(R28^1.92)*(S28^1.176)*(T28^0.0445)*(U28^0.45)*(V28^0.103)*(W28^0.149)</f>
        <v>229932.276680914</v>
      </c>
      <c r="O28" s="16" t="n">
        <f aca="false">73.99*(P28^0.126)*(Q28^-0.326)*(R28^0.473)*(S28^0.605)*(T28^-0.0271)*(U28^0.685)*(V28^0.00271)*(W28^0.193)</f>
        <v>63267.0720874332</v>
      </c>
      <c r="P28" s="3" t="n">
        <v>69768</v>
      </c>
      <c r="Q28" s="3" t="n">
        <v>3.01705653021443</v>
      </c>
      <c r="R28" s="3" t="n">
        <v>0.0515</v>
      </c>
      <c r="S28" s="2" t="n">
        <v>0.873971898807994</v>
      </c>
      <c r="T28" s="3" t="n">
        <v>1.26209463051568</v>
      </c>
      <c r="U28" s="16" t="n">
        <v>4818.087</v>
      </c>
      <c r="V28" s="16" t="n">
        <v>2517.899</v>
      </c>
      <c r="W28" s="16" t="n">
        <v>1189.014</v>
      </c>
    </row>
    <row r="29" customFormat="false" ht="14.65" hidden="false" customHeight="false" outlineLevel="0" collapsed="false">
      <c r="A29" s="4" t="s">
        <v>36</v>
      </c>
      <c r="B29" s="22" t="n">
        <f aca="false">79221*($R29^1.83)*($S29^0.786)*($T29^0.00492)*0.439*($U29^-0.561)*($V29^0.225)*($W29^0.179)/1000</f>
        <v>0.0227200096307642</v>
      </c>
      <c r="C29" s="22" t="n">
        <f aca="false">79221*($R29^1.83)*($S29^0.786)*($T29^0.00492)*($U29^0.439)*0.225*($V29^-0.775)*($W29^0.179)/1000</f>
        <v>0.0274960944257212</v>
      </c>
      <c r="D29" s="22" t="n">
        <f aca="false">79221*($R29^1.83)*($S29^0.786)*($T29^0.00492)*($U29^0.439)*($V29^0.225)*0.179*($W29^-0.821)/1000</f>
        <v>0.0292467727804708</v>
      </c>
      <c r="E29" s="23" t="n">
        <f aca="false">+(C29*V29+D29*W29)/(V29+W29)</f>
        <v>0.0282452030165774</v>
      </c>
      <c r="F29" s="23"/>
      <c r="G29" s="4" t="s">
        <v>36</v>
      </c>
      <c r="H29" s="22" t="n">
        <f aca="false">73.99*($P29^0.126)*($Q29^-0.326)*($R29^0.473)*($S29^0.605)*($T29^-0.0271)*0.685*($U29^-0.315)*($V29^0.00271)*($W29^0.193)/1000</f>
        <v>0.00913606903339356</v>
      </c>
      <c r="I29" s="22" t="n">
        <f aca="false">73.99*($P29^0.126)*($Q29^-0.326)*($R29^0.473)*($S29^0.605)*($T29^-0.0271)*($U29^0.685)*0.00271*($V29^-0.997)*($W29^0.193)/1000</f>
        <v>8.55485094907532E-005</v>
      </c>
      <c r="J29" s="22" t="n">
        <f aca="false">73.99*($P29^0.126)*($Q29^-0.326)*($R29^0.473)*($S29^0.605)*($T29^-0.0271)*($U29^0.685)*($V29^0.00271)*0.193*($W29^-0.803)/1000</f>
        <v>0.00838701410557587</v>
      </c>
      <c r="K29" s="22" t="n">
        <f aca="false">+(I29*V29+J29*W29)/(V29+W29)</f>
        <v>0.00363771397601022</v>
      </c>
      <c r="L29" s="16" t="n">
        <v>464939.45</v>
      </c>
      <c r="M29" s="16" t="n">
        <v>123281</v>
      </c>
      <c r="N29" s="16" t="n">
        <f aca="false">71682*(P29^0.183)*(Q29^-0.643)*(R29^1.92)*(S29^1.176)*(T29^0.0445)*(U29^0.45)*(V29^0.103)*(W29^0.149)</f>
        <v>367071.299085674</v>
      </c>
      <c r="O29" s="16" t="n">
        <f aca="false">73.99*(P29^0.126)*(Q29^-0.326)*(R29^0.473)*(S29^0.605)*(T29^-0.0271)*(U29^0.685)*(V29^0.00271)*(W29^0.193)</f>
        <v>112055.5271858</v>
      </c>
      <c r="P29" s="3" t="n">
        <v>92702</v>
      </c>
      <c r="Q29" s="3" t="n">
        <v>3.00552434068353</v>
      </c>
      <c r="R29" s="3" t="n">
        <v>0.0525</v>
      </c>
      <c r="S29" s="2" t="n">
        <v>0.854463597495316</v>
      </c>
      <c r="T29" s="3" t="n">
        <v>1.18075491759702</v>
      </c>
      <c r="U29" s="16" t="n">
        <v>8401.648</v>
      </c>
      <c r="V29" s="16" t="n">
        <v>3558.115</v>
      </c>
      <c r="W29" s="16" t="n">
        <v>2661.237</v>
      </c>
    </row>
    <row r="30" customFormat="false" ht="14.65" hidden="false" customHeight="false" outlineLevel="0" collapsed="false">
      <c r="A30" s="5" t="s">
        <v>37</v>
      </c>
      <c r="B30" s="22" t="n">
        <f aca="false">79221*($R30^1.83)*($S30^0.786)*($T30^0.00492)*0.439*($U30^-0.561)*($V30^0.225)*($W30^0.179)/1000</f>
        <v>0.00715552371235552</v>
      </c>
      <c r="C30" s="22" t="n">
        <f aca="false">79221*($R30^1.83)*($S30^0.786)*($T30^0.00492)*($U30^0.439)*0.225*($V30^-0.775)*($W30^0.179)/1000</f>
        <v>0.13488331364167</v>
      </c>
      <c r="D30" s="22" t="n">
        <f aca="false">79221*($R30^1.83)*($S30^0.786)*($T30^0.00492)*($U30^0.439)*($V30^0.225)*0.179*($W30^-0.821)/1000</f>
        <v>0.103706548329263</v>
      </c>
      <c r="E30" s="23" t="n">
        <f aca="false">+(C30*V30+D30*W30)/(V30+W30)</f>
        <v>0.119028939459021</v>
      </c>
      <c r="F30" s="23"/>
      <c r="G30" s="5" t="s">
        <v>37</v>
      </c>
      <c r="H30" s="22" t="n">
        <f aca="false">73.99*($P30^0.126)*($Q30^-0.326)*($R30^0.473)*($S30^0.605)*($T30^-0.0271)*0.685*($U30^-0.315)*($V30^0.00271)*($W30^0.193)/1000</f>
        <v>0.00490690111312921</v>
      </c>
      <c r="I30" s="22" t="n">
        <f aca="false">73.99*($P30^0.126)*($Q30^-0.326)*($R30^0.473)*($S30^0.605)*($T30^-0.0271)*($U30^0.685)*0.00271*($V30^-0.997)*($W30^0.193)/1000</f>
        <v>0.000715492121448668</v>
      </c>
      <c r="J30" s="22" t="n">
        <f aca="false">73.99*($P30^0.126)*($Q30^-0.326)*($R30^0.473)*($S30^0.605)*($T30^-0.0271)*($U30^0.685)*($V30^0.00271)*0.193*($W30^-0.803)/1000</f>
        <v>0.0506057199098696</v>
      </c>
      <c r="K30" s="22" t="n">
        <f aca="false">+(I30*V30+J30*W30)/(V30+W30)</f>
        <v>0.0260862556207793</v>
      </c>
      <c r="L30" s="16" t="e">
        <f aca="false">#REF!</f>
        <v>#VALUE!</v>
      </c>
      <c r="M30" s="16" t="e">
        <f aca="false">#REF!</f>
        <v>#VALUE!</v>
      </c>
      <c r="N30" s="16" t="n">
        <f aca="false">71682*(P30^0.183)*(Q30^-0.643)*(R30^1.92)*(S30^1.176)*(T30^0.0445)*(U30^0.45)*(V30^0.103)*(W30^0.149)</f>
        <v>848755.692964609</v>
      </c>
      <c r="O30" s="16" t="n">
        <f aca="false">73.99*(P30^0.126)*(Q30^-0.326)*(R30^0.473)*(S30^0.605)*(T30^-0.0271)*(U30^0.685)*(V30^0.00271)*(W30^0.193)</f>
        <v>391943.096060362</v>
      </c>
      <c r="P30" s="3" t="n">
        <v>45778</v>
      </c>
      <c r="Q30" s="3" t="n">
        <v>3.0137726620992</v>
      </c>
      <c r="R30" s="3" t="n">
        <v>0.0515</v>
      </c>
      <c r="S30" s="2" t="n">
        <v>1.13843820999968</v>
      </c>
      <c r="T30" s="3" t="n">
        <v>1.09888357256778</v>
      </c>
      <c r="U30" s="16" t="n">
        <v>54714.985</v>
      </c>
      <c r="V30" s="16" t="n">
        <v>1487.673</v>
      </c>
      <c r="W30" s="16" t="n">
        <v>1539.324</v>
      </c>
    </row>
    <row r="31" customFormat="false" ht="14.65" hidden="false" customHeight="false" outlineLevel="0" collapsed="false">
      <c r="A31" s="4" t="s">
        <v>38</v>
      </c>
      <c r="B31" s="22" t="n">
        <f aca="false">79221*($R31^1.83)*($S31^0.786)*($T31^0.00492)*0.439*($U31^-0.561)*($V31^0.225)*($W31^0.179)/1000</f>
        <v>0.0168391805979795</v>
      </c>
      <c r="C31" s="22" t="n">
        <f aca="false">79221*($R31^1.83)*($S31^0.786)*($T31^0.00492)*($U31^0.439)*0.225*($V31^-0.775)*($W31^0.179)/1000</f>
        <v>0.0264121986108783</v>
      </c>
      <c r="D31" s="22" t="n">
        <f aca="false">79221*($R31^1.83)*($S31^0.786)*($T31^0.00492)*($U31^0.439)*($V31^0.225)*0.179*($W31^-0.821)/1000</f>
        <v>0.134691534773512</v>
      </c>
      <c r="E31" s="23" t="n">
        <f aca="false">+(C31*V31+D31*W31)/(V31+W31)</f>
        <v>0.0410245848805951</v>
      </c>
      <c r="F31" s="23"/>
      <c r="G31" s="4" t="s">
        <v>38</v>
      </c>
      <c r="H31" s="22" t="n">
        <f aca="false">73.99*($P31^0.126)*($Q31^-0.326)*($R31^0.473)*($S31^0.605)*($T31^-0.0271)*0.685*($U31^-0.315)*($V31^0.00271)*($W31^0.193)/1000</f>
        <v>0.00550285551724042</v>
      </c>
      <c r="I31" s="22" t="n">
        <f aca="false">73.99*($P31^0.126)*($Q31^-0.326)*($R31^0.473)*($S31^0.605)*($T31^-0.0271)*($U31^0.685)*0.00271*($V31^-0.997)*($W31^0.193)/1000</f>
        <v>6.67747147919601E-005</v>
      </c>
      <c r="J31" s="22" t="n">
        <f aca="false">73.99*($P31^0.126)*($Q31^-0.326)*($R31^0.473)*($S31^0.605)*($T31^-0.0271)*($U31^0.685)*($V31^0.00271)*0.193*($W31^-0.803)/1000</f>
        <v>0.0311436916610765</v>
      </c>
      <c r="K31" s="22" t="n">
        <f aca="false">+(I31*V31+J31*W31)/(V31+W31)</f>
        <v>0.00426063044557473</v>
      </c>
      <c r="L31" s="16" t="n">
        <v>348865.622</v>
      </c>
      <c r="M31" s="16" t="n">
        <v>200435</v>
      </c>
      <c r="N31" s="16" t="n">
        <f aca="false">71682*(P31^0.183)*(Q31^-0.643)*(R31^1.92)*(S31^1.176)*(T31^0.0445)*(U31^0.45)*(V31^0.103)*(W31^0.149)</f>
        <v>197956.549161395</v>
      </c>
      <c r="O31" s="16" t="n">
        <f aca="false">73.99*(P31^0.126)*(Q31^-0.326)*(R31^0.473)*(S31^0.605)*(T31^-0.0271)*(U31^0.685)*(V31^0.00271)*(W31^0.193)</f>
        <v>58698.9276689407</v>
      </c>
      <c r="P31" s="3" t="n">
        <v>14938</v>
      </c>
      <c r="Q31" s="3" t="n">
        <v>3.02554205797405</v>
      </c>
      <c r="R31" s="3" t="n">
        <v>0.0515</v>
      </c>
      <c r="S31" s="2" t="n">
        <v>0.9682006749598</v>
      </c>
      <c r="T31" s="3" t="n">
        <v>1.40350877192982</v>
      </c>
      <c r="U31" s="16" t="n">
        <v>7306.891</v>
      </c>
      <c r="V31" s="16" t="n">
        <v>2387.63</v>
      </c>
      <c r="W31" s="16" t="n">
        <v>372.479</v>
      </c>
    </row>
    <row r="32" customFormat="false" ht="14.65" hidden="false" customHeight="false" outlineLevel="0" collapsed="false">
      <c r="A32" s="4" t="s">
        <v>39</v>
      </c>
      <c r="B32" s="22" t="n">
        <f aca="false">79221*($R32^1.83)*($S32^0.786)*($T32^0.00492)*0.439*($U32^-0.561)*($V32^0.225)*($W32^0.179)/1000</f>
        <v>0.0160982249766639</v>
      </c>
      <c r="C32" s="22" t="n">
        <f aca="false">79221*($R32^1.83)*($S32^0.786)*($T32^0.00492)*($U32^0.439)*0.225*($V32^-0.775)*($W32^0.179)/1000</f>
        <v>0.0350577569223589</v>
      </c>
      <c r="D32" s="22" t="n">
        <f aca="false">79221*($R32^1.83)*($S32^0.786)*($T32^0.00492)*($U32^0.439)*($V32^0.225)*0.179*($W32^-0.821)/1000</f>
        <v>0.0567724993645159</v>
      </c>
      <c r="E32" s="23" t="n">
        <f aca="false">+(C32*V32+D32*W32)/(V32+W32)</f>
        <v>0.0422112179941409</v>
      </c>
      <c r="F32" s="23"/>
      <c r="G32" s="4" t="s">
        <v>39</v>
      </c>
      <c r="H32" s="22" t="n">
        <f aca="false">73.99*($P32^0.126)*($Q32^-0.326)*($R32^0.473)*($S32^0.605)*($T32^-0.0271)*0.685*($U32^-0.315)*($V32^0.00271)*($W32^0.193)/1000</f>
        <v>0.00678072869303264</v>
      </c>
      <c r="I32" s="22" t="n">
        <f aca="false">73.99*($P32^0.126)*($Q32^-0.326)*($R32^0.473)*($S32^0.605)*($T32^-0.0271)*($U32^0.685)*0.00271*($V32^-0.997)*($W32^0.193)/1000</f>
        <v>0.000114289820638948</v>
      </c>
      <c r="J32" s="22" t="n">
        <f aca="false">73.99*($P32^0.126)*($Q32^-0.326)*($R32^0.473)*($S32^0.605)*($T32^-0.0271)*($U32^0.685)*($V32^0.00271)*0.193*($W32^-0.803)/1000</f>
        <v>0.0170977746557322</v>
      </c>
      <c r="K32" s="22" t="n">
        <f aca="false">+(I32*V32+J32*W32)/(V32+W32)</f>
        <v>0.00570913847954713</v>
      </c>
      <c r="L32" s="16" t="n">
        <v>1748217.6</v>
      </c>
      <c r="M32" s="16" t="n">
        <v>832923</v>
      </c>
      <c r="N32" s="16" t="n">
        <f aca="false">71682*(P32^0.183)*(Q32^-0.643)*(R32^1.92)*(S32^1.176)*(T32^0.0445)*(U32^0.45)*(V32^0.103)*(W32^0.149)</f>
        <v>1168358.36829177</v>
      </c>
      <c r="O32" s="16" t="n">
        <f aca="false">73.99*(P32^0.126)*(Q32^-0.326)*(R32^0.473)*(S32^0.605)*(T32^-0.0271)*(U32^0.685)*(V32^0.00271)*(W32^0.193)</f>
        <v>435311.794342551</v>
      </c>
      <c r="P32" s="3" t="n">
        <v>35097</v>
      </c>
      <c r="Q32" s="3" t="n">
        <v>3.06459411990633</v>
      </c>
      <c r="R32" s="3" t="n">
        <v>0.0495</v>
      </c>
      <c r="S32" s="2" t="n">
        <v>1.30786596649451</v>
      </c>
      <c r="T32" s="3" t="n">
        <v>1.45029239766082</v>
      </c>
      <c r="U32" s="16" t="n">
        <v>43975.89</v>
      </c>
      <c r="V32" s="16" t="n">
        <v>10349.67</v>
      </c>
      <c r="W32" s="16" t="n">
        <v>5084.44</v>
      </c>
    </row>
    <row r="33" customFormat="false" ht="14.65" hidden="false" customHeight="false" outlineLevel="0" collapsed="false">
      <c r="A33" s="4" t="s">
        <v>40</v>
      </c>
      <c r="B33" s="22" t="n">
        <f aca="false">79221*($R33^1.83)*($S33^0.786)*($T33^0.00492)*0.439*($U33^-0.561)*($V33^0.225)*($W33^0.179)/1000</f>
        <v>0.017962849365696</v>
      </c>
      <c r="C33" s="22" t="n">
        <f aca="false">79221*($R33^1.83)*($S33^0.786)*($T33^0.00492)*($U33^0.439)*0.225*($V33^-0.775)*($W33^0.179)/1000</f>
        <v>0.0393718908083575</v>
      </c>
      <c r="D33" s="22" t="n">
        <f aca="false">79221*($R33^1.83)*($S33^0.786)*($T33^0.00492)*($U33^0.439)*($V33^0.225)*0.179*($W33^-0.821)/1000</f>
        <v>0.0231111054934616</v>
      </c>
      <c r="E33" s="23" t="n">
        <f aca="false">+(C33*V33+D33*W33)/(V33+W33)</f>
        <v>0.0300150123483944</v>
      </c>
      <c r="F33" s="23"/>
      <c r="G33" s="4" t="s">
        <v>40</v>
      </c>
      <c r="H33" s="22" t="n">
        <f aca="false">73.99*($P33^0.126)*($Q33^-0.326)*($R33^0.473)*($S33^0.605)*($T33^-0.0271)*0.685*($U33^-0.315)*($V33^0.00271)*($W33^0.193)/1000</f>
        <v>0.00844353956848206</v>
      </c>
      <c r="I33" s="22" t="n">
        <f aca="false">73.99*($P33^0.126)*($Q33^-0.326)*($R33^0.473)*($S33^0.605)*($T33^-0.0271)*($U33^0.685)*0.00271*($V33^-0.997)*($W33^0.193)/1000</f>
        <v>0.000143184229572755</v>
      </c>
      <c r="J33" s="22" t="n">
        <f aca="false">73.99*($P33^0.126)*($Q33^-0.326)*($R33^0.473)*($S33^0.605)*($T33^-0.0271)*($U33^0.685)*($V33^0.00271)*0.193*($W33^-0.803)/1000</f>
        <v>0.00775807621474029</v>
      </c>
      <c r="K33" s="22" t="n">
        <f aca="false">+(I33*V33+J33*W33)/(V33+W33)</f>
        <v>0.00452499097575056</v>
      </c>
      <c r="L33" s="16" t="n">
        <v>404863.224</v>
      </c>
      <c r="M33" s="16" t="n">
        <v>144159</v>
      </c>
      <c r="N33" s="16" t="n">
        <f aca="false">71682*(P33^0.183)*(Q33^-0.643)*(R33^1.92)*(S33^1.176)*(T33^0.0445)*(U33^0.45)*(V33^0.103)*(W33^0.149)</f>
        <v>398410.025410261</v>
      </c>
      <c r="O33" s="16" t="n">
        <f aca="false">73.99*(P33^0.126)*(Q33^-0.326)*(R33^0.473)*(S33^0.605)*(T33^-0.0271)*(U33^0.685)*(V33^0.00271)*(W33^0.193)</f>
        <v>146668.202079107</v>
      </c>
      <c r="P33" s="3" t="n">
        <v>60812</v>
      </c>
      <c r="Q33" s="3" t="n">
        <v>3.01831013062442</v>
      </c>
      <c r="R33" s="3" t="n">
        <v>0.0495</v>
      </c>
      <c r="S33" s="2" t="n">
        <v>0.923257965709271</v>
      </c>
      <c r="T33" s="3" t="n">
        <v>1.19457735247209</v>
      </c>
      <c r="U33" s="16" t="n">
        <v>11898.768</v>
      </c>
      <c r="V33" s="16" t="n">
        <v>2782.332</v>
      </c>
      <c r="W33" s="16" t="n">
        <v>3770.9</v>
      </c>
    </row>
    <row r="34" customFormat="false" ht="14.65" hidden="false" customHeight="false" outlineLevel="0" collapsed="false">
      <c r="A34" s="5" t="s">
        <v>41</v>
      </c>
      <c r="B34" s="22" t="n">
        <f aca="false">79221*($R34^1.83)*($S34^0.786)*($T34^0.00492)*0.439*($U34^-0.561)*($V34^0.225)*($W34^0.179)/1000</f>
        <v>0.0167146741032168</v>
      </c>
      <c r="C34" s="22" t="n">
        <f aca="false">79221*($R34^1.83)*($S34^0.786)*($T34^0.00492)*($U34^0.439)*0.225*($V34^-0.775)*($W34^0.179)/1000</f>
        <v>0.0380130912256353</v>
      </c>
      <c r="D34" s="22" t="n">
        <f aca="false">79221*($R34^1.83)*($S34^0.786)*($T34^0.00492)*($U34^0.439)*($V34^0.225)*0.179*($W34^-0.821)/1000</f>
        <v>0.0654711758147993</v>
      </c>
      <c r="E34" s="23" t="n">
        <f aca="false">+(C34*V34+D34*W34)/(V34+W34)</f>
        <v>0.0466887879884283</v>
      </c>
      <c r="F34" s="23"/>
      <c r="G34" s="5" t="s">
        <v>41</v>
      </c>
      <c r="H34" s="22" t="n">
        <f aca="false">73.99*($P34^0.126)*($Q34^-0.326)*($R34^0.473)*($S34^0.605)*($T34^-0.0271)*0.685*($U34^-0.315)*($V34^0.00271)*($W34^0.193)/1000</f>
        <v>0.00728277447254407</v>
      </c>
      <c r="I34" s="22" t="n">
        <f aca="false">73.99*($P34^0.126)*($Q34^-0.326)*($R34^0.473)*($S34^0.605)*($T34^-0.0271)*($U34^0.685)*0.00271*($V34^-0.997)*($W34^0.193)/1000</f>
        <v>0.000128212744025726</v>
      </c>
      <c r="J34" s="22" t="n">
        <f aca="false">73.99*($P34^0.126)*($Q34^-0.326)*($R34^0.473)*($S34^0.605)*($T34^-0.0271)*($U34^0.685)*($V34^0.00271)*0.193*($W34^-0.803)/1000</f>
        <v>0.0204393015163376</v>
      </c>
      <c r="K34" s="22" t="n">
        <f aca="false">+(I34*V34+J34*W34)/(V34+W34)</f>
        <v>0.00654573420436415</v>
      </c>
      <c r="L34" s="16" t="n">
        <v>3679098.456</v>
      </c>
      <c r="M34" s="16" t="n">
        <v>1187382</v>
      </c>
      <c r="N34" s="16" t="n">
        <f aca="false">71682*(P34^0.183)*(Q34^-0.643)*(R34^1.92)*(S34^1.176)*(T34^0.0445)*(U34^0.45)*(V34^0.103)*(W34^0.149)</f>
        <v>2593031.36178964</v>
      </c>
      <c r="O34" s="16" t="n">
        <f aca="false">73.99*(P34^0.126)*(Q34^-0.326)*(R34^0.473)*(S34^0.605)*(T34^-0.0271)*(U34^0.685)*(V34^0.00271)*(W34^0.193)</f>
        <v>878726.554549205</v>
      </c>
      <c r="P34" s="3" t="n">
        <v>111882</v>
      </c>
      <c r="Q34" s="3" t="n">
        <v>3.03589788971131</v>
      </c>
      <c r="R34" s="3" t="n">
        <v>0.0555</v>
      </c>
      <c r="S34" s="2" t="n">
        <v>1.23583248410034</v>
      </c>
      <c r="T34" s="3" t="n">
        <v>1.55608718766614</v>
      </c>
      <c r="U34" s="16" t="n">
        <v>82650.876</v>
      </c>
      <c r="V34" s="16" t="n">
        <v>18626.454</v>
      </c>
      <c r="W34" s="16" t="n">
        <v>8603.67</v>
      </c>
    </row>
    <row r="35" customFormat="false" ht="14.65" hidden="false" customHeight="false" outlineLevel="0" collapsed="false">
      <c r="A35" s="4" t="s">
        <v>42</v>
      </c>
      <c r="B35" s="22" t="n">
        <f aca="false">79221*($R35^1.83)*($S35^0.786)*($T35^0.00492)*0.439*($U35^-0.561)*($V35^0.225)*($W35^0.179)/1000</f>
        <v>0.0111589888654277</v>
      </c>
      <c r="C35" s="22" t="n">
        <f aca="false">79221*($R35^1.83)*($S35^0.786)*($T35^0.00492)*($U35^0.439)*0.225*($V35^-0.775)*($W35^0.179)/1000</f>
        <v>0.0388580899986556</v>
      </c>
      <c r="D35" s="22" t="n">
        <f aca="false">79221*($R35^1.83)*($S35^0.786)*($T35^0.00492)*($U35^0.439)*($V35^0.225)*0.179*($W35^-0.821)/1000</f>
        <v>0.0199275168070659</v>
      </c>
      <c r="E35" s="23" t="n">
        <f aca="false">+(C35*V35+D35*W35)/(V35+W35)</f>
        <v>0.0273474572483679</v>
      </c>
      <c r="F35" s="23"/>
      <c r="G35" s="4" t="s">
        <v>42</v>
      </c>
      <c r="H35" s="22" t="n">
        <f aca="false">73.99*($P35^0.126)*($Q35^-0.326)*($R35^0.473)*($S35^0.605)*($T35^-0.0271)*0.685*($U35^-0.315)*($V35^0.00271)*($W35^0.193)/1000</f>
        <v>0.00683534030774714</v>
      </c>
      <c r="I35" s="22" t="n">
        <f aca="false">73.99*($P35^0.126)*($Q35^-0.326)*($R35^0.473)*($S35^0.605)*($T35^-0.0271)*($U35^0.685)*0.00271*($V35^-0.997)*($W35^0.193)/1000</f>
        <v>0.000184202942130571</v>
      </c>
      <c r="J35" s="22" t="n">
        <f aca="false">73.99*($P35^0.126)*($Q35^-0.326)*($R35^0.473)*($S35^0.605)*($T35^-0.0271)*($U35^0.685)*($V35^0.00271)*0.193*($W35^-0.803)/1000</f>
        <v>0.00875518410704744</v>
      </c>
      <c r="K35" s="22" t="n">
        <f aca="false">+(I35*V35+J35*W35)/(V35+W35)</f>
        <v>0.00539574173181823</v>
      </c>
      <c r="L35" s="16" t="n">
        <v>1304284.15</v>
      </c>
      <c r="M35" s="16" t="n">
        <v>714964</v>
      </c>
      <c r="N35" s="16" t="n">
        <f aca="false">71682*(P35^0.183)*(Q35^-0.643)*(R35^1.92)*(S35^1.176)*(T35^0.0445)*(U35^0.45)*(V35^0.103)*(W35^0.149)</f>
        <v>966157.750903315</v>
      </c>
      <c r="O35" s="16" t="n">
        <f aca="false">73.99*(P35^0.126)*(Q35^-0.326)*(R35^0.473)*(S35^0.605)*(T35^-0.0271)*(U35^0.685)*(V35^0.00271)*(W35^0.193)</f>
        <v>489951.545372287</v>
      </c>
      <c r="P35" s="3" t="n">
        <v>96028</v>
      </c>
      <c r="Q35" s="3" t="n">
        <v>3.01589835887155</v>
      </c>
      <c r="R35" s="3" t="n">
        <v>0.0475</v>
      </c>
      <c r="S35" s="2" t="n">
        <v>0.904780291635753</v>
      </c>
      <c r="T35" s="3" t="n">
        <v>1.37267410951622</v>
      </c>
      <c r="U35" s="16" t="n">
        <v>49100.234</v>
      </c>
      <c r="V35" s="16" t="n">
        <v>7226.782</v>
      </c>
      <c r="W35" s="16" t="n">
        <v>11210.984</v>
      </c>
    </row>
    <row r="36" customFormat="false" ht="14.65" hidden="false" customHeight="false" outlineLevel="0" collapsed="false">
      <c r="A36" s="4" t="s">
        <v>43</v>
      </c>
      <c r="B36" s="22" t="n">
        <f aca="false">79221*($R36^1.83)*($S36^0.786)*($T36^0.00492)*0.439*($U36^-0.561)*($V36^0.225)*($W36^0.179)/1000</f>
        <v>0.019854582785194</v>
      </c>
      <c r="C36" s="22" t="n">
        <f aca="false">79221*($R36^1.83)*($S36^0.786)*($T36^0.00492)*($U36^0.439)*0.225*($V36^-0.775)*($W36^0.179)/1000</f>
        <v>0.0328491498952838</v>
      </c>
      <c r="D36" s="22" t="n">
        <f aca="false">79221*($R36^1.83)*($S36^0.786)*($T36^0.00492)*($U36^0.439)*($V36^0.225)*0.179*($W36^-0.821)/1000</f>
        <v>0.0435350107544401</v>
      </c>
      <c r="E36" s="23" t="n">
        <f aca="false">+(C36*V36+D36*W36)/(V36+W36)</f>
        <v>0.0368575284936151</v>
      </c>
      <c r="F36" s="23"/>
      <c r="G36" s="4" t="s">
        <v>43</v>
      </c>
      <c r="H36" s="22" t="n">
        <f aca="false">73.99*($P36^0.126)*($Q36^-0.326)*($R36^0.473)*($S36^0.605)*($T36^-0.0271)*0.685*($U36^-0.315)*($V36^0.00271)*($W36^0.193)/1000</f>
        <v>0.00827836956233941</v>
      </c>
      <c r="I36" s="22" t="n">
        <f aca="false">73.99*($P36^0.126)*($Q36^-0.326)*($R36^0.473)*($S36^0.605)*($T36^-0.0271)*($U36^0.685)*0.00271*($V36^-0.997)*($W36^0.193)/1000</f>
        <v>0.00010594190190124</v>
      </c>
      <c r="J36" s="22" t="n">
        <f aca="false">73.99*($P36^0.126)*($Q36^-0.326)*($R36^0.473)*($S36^0.605)*($T36^-0.0271)*($U36^0.685)*($V36^0.00271)*0.193*($W36^-0.803)/1000</f>
        <v>0.0128798995550152</v>
      </c>
      <c r="K36" s="22" t="n">
        <f aca="false">+(I36*V36+J36*W36)/(V36+W36)</f>
        <v>0.00489758753041969</v>
      </c>
      <c r="L36" s="16" t="n">
        <v>259286.74</v>
      </c>
      <c r="M36" s="16" t="n">
        <v>65896</v>
      </c>
      <c r="N36" s="16" t="n">
        <f aca="false">71682*(P36^0.183)*(Q36^-0.643)*(R36^1.92)*(S36^1.176)*(T36^0.0445)*(U36^0.45)*(V36^0.103)*(W36^0.149)</f>
        <v>180291.734010651</v>
      </c>
      <c r="O36" s="16" t="n">
        <f aca="false">73.99*(P36^0.126)*(Q36^-0.326)*(R36^0.473)*(S36^0.605)*(T36^-0.0271)*(U36^0.685)*(V36^0.00271)*(W36^0.193)</f>
        <v>49060.3613693294</v>
      </c>
      <c r="P36" s="3" t="n">
        <v>86727</v>
      </c>
      <c r="Q36" s="3" t="n">
        <v>3.00661493116741</v>
      </c>
      <c r="R36" s="3" t="n">
        <v>0.0515</v>
      </c>
      <c r="S36" s="2" t="n">
        <v>0.799325040200236</v>
      </c>
      <c r="T36" s="3" t="n">
        <v>2.83572567783094</v>
      </c>
      <c r="U36" s="16" t="n">
        <v>4059.537</v>
      </c>
      <c r="V36" s="16" t="n">
        <v>1257.567</v>
      </c>
      <c r="W36" s="16" t="n">
        <v>754.896</v>
      </c>
    </row>
    <row r="37" customFormat="false" ht="14.65" hidden="false" customHeight="false" outlineLevel="0" collapsed="false">
      <c r="A37" s="4" t="s">
        <v>44</v>
      </c>
      <c r="B37" s="22" t="n">
        <f aca="false">79221*($R37^1.83)*($S37^0.786)*($T37^0.00492)*0.439*($U37^-0.561)*($V37^0.225)*($W37^0.179)/1000</f>
        <v>0.0128675232914983</v>
      </c>
      <c r="C37" s="22" t="n">
        <f aca="false">79221*($R37^1.83)*($S37^0.786)*($T37^0.00492)*($U37^0.439)*0.225*($V37^-0.775)*($W37^0.179)/1000</f>
        <v>0.0399130942459538</v>
      </c>
      <c r="D37" s="22" t="n">
        <f aca="false">79221*($R37^1.83)*($S37^0.786)*($T37^0.00492)*($U37^0.439)*($V37^0.225)*0.179*($W37^-0.821)/1000</f>
        <v>0.0305206757307463</v>
      </c>
      <c r="E37" s="23" t="n">
        <f aca="false">+(C37*V37+D37*W37)/(V37+W37)</f>
        <v>0.03512394622032</v>
      </c>
      <c r="F37" s="23"/>
      <c r="G37" s="4" t="s">
        <v>44</v>
      </c>
      <c r="H37" s="22" t="n">
        <f aca="false">73.99*($P37^0.126)*($Q37^-0.326)*($R37^0.473)*($S37^0.605)*($T37^-0.0271)*0.685*($U37^-0.315)*($V37^0.00271)*($W37^0.193)/1000</f>
        <v>0.00700283886530391</v>
      </c>
      <c r="I37" s="22" t="n">
        <f aca="false">73.99*($P37^0.126)*($Q37^-0.326)*($R37^0.473)*($S37^0.605)*($T37^-0.0271)*($U37^0.685)*0.00271*($V37^-0.997)*($W37^0.193)/1000</f>
        <v>0.000168126347857098</v>
      </c>
      <c r="J37" s="22" t="n">
        <f aca="false">73.99*($P37^0.126)*($Q37^-0.326)*($R37^0.473)*($S37^0.605)*($T37^-0.0271)*($U37^0.685)*($V37^0.00271)*0.193*($W37^-0.803)/1000</f>
        <v>0.0119179874667615</v>
      </c>
      <c r="K37" s="22" t="n">
        <f aca="false">+(I37*V37+J37*W37)/(V37+W37)</f>
        <v>0.00615932276739071</v>
      </c>
      <c r="L37" s="16" t="n">
        <v>2414702.53</v>
      </c>
      <c r="M37" s="16" t="n">
        <v>947827</v>
      </c>
      <c r="N37" s="16" t="n">
        <f aca="false">71682*(P37^0.183)*(Q37^-0.643)*(R37^1.92)*(S37^1.176)*(T37^0.0445)*(U37^0.45)*(V37^0.103)*(W37^0.149)</f>
        <v>1636116.31542205</v>
      </c>
      <c r="O37" s="16" t="n">
        <f aca="false">73.99*(P37^0.126)*(Q37^-0.326)*(R37^0.473)*(S37^0.605)*(T37^-0.0271)*(U37^0.685)*(V37^0.00271)*(W37^0.193)</f>
        <v>728014.228802221</v>
      </c>
      <c r="P37" s="3" t="n">
        <v>113823</v>
      </c>
      <c r="Q37" s="3" t="n">
        <v>3.02199703387615</v>
      </c>
      <c r="R37" s="3" t="n">
        <v>0.0515</v>
      </c>
      <c r="S37" s="2" t="n">
        <v>0.999597997638507</v>
      </c>
      <c r="T37" s="3" t="n">
        <v>1.19617224880383</v>
      </c>
      <c r="U37" s="16" t="n">
        <v>71212.512</v>
      </c>
      <c r="V37" s="16" t="n">
        <v>11766.678</v>
      </c>
      <c r="W37" s="16" t="n">
        <v>12241.81</v>
      </c>
    </row>
    <row r="38" customFormat="false" ht="14.65" hidden="false" customHeight="false" outlineLevel="0" collapsed="false">
      <c r="A38" s="5" t="s">
        <v>45</v>
      </c>
      <c r="B38" s="22" t="n">
        <f aca="false">79221*($R38^1.83)*($S38^0.786)*($T38^0.00492)*0.439*($U38^-0.561)*($V38^0.225)*($W38^0.179)/1000</f>
        <v>0.0160468320843246</v>
      </c>
      <c r="C38" s="22" t="n">
        <f aca="false">79221*($R38^1.83)*($S38^0.786)*($T38^0.00492)*($U38^0.439)*0.225*($V38^-0.775)*($W38^0.179)/1000</f>
        <v>0.0249040565126923</v>
      </c>
      <c r="D38" s="22" t="n">
        <f aca="false">79221*($R38^1.83)*($S38^0.786)*($T38^0.00492)*($U38^0.439)*($V38^0.225)*0.179*($W38^-0.821)/1000</f>
        <v>0.0353178235438158</v>
      </c>
      <c r="E38" s="23" t="n">
        <f aca="false">+(C38*V38+D38*W38)/(V38+W38)</f>
        <v>0.0286465189136448</v>
      </c>
      <c r="F38" s="23"/>
      <c r="G38" s="5" t="s">
        <v>45</v>
      </c>
      <c r="H38" s="22" t="n">
        <f aca="false">73.99*($P38^0.126)*($Q38^-0.326)*($R38^0.473)*($S38^0.605)*($T38^-0.0271)*0.685*($U38^-0.315)*($V38^0.00271)*($W38^0.193)/1000</f>
        <v>0.00734568014000959</v>
      </c>
      <c r="I38" s="22" t="n">
        <f aca="false">73.99*($P38^0.126)*($Q38^-0.326)*($R38^0.473)*($S38^0.605)*($T38^-0.0271)*($U38^0.685)*0.00271*($V38^-0.997)*($W38^0.193)/1000</f>
        <v>8.82266579438864E-005</v>
      </c>
      <c r="J38" s="22" t="n">
        <f aca="false">73.99*($P38^0.126)*($Q38^-0.326)*($R38^0.473)*($S38^0.605)*($T38^-0.0271)*($U38^0.685)*($V38^0.00271)*0.193*($W38^-0.803)/1000</f>
        <v>0.0115517009464872</v>
      </c>
      <c r="K38" s="22" t="n">
        <f aca="false">+(I38*V38+J38*W38)/(V38+W38)</f>
        <v>0.00420792910384457</v>
      </c>
      <c r="L38" s="16" t="n">
        <v>732255.964</v>
      </c>
      <c r="M38" s="16" t="n">
        <v>318259</v>
      </c>
      <c r="N38" s="16" t="n">
        <f aca="false">71682*(P38^0.183)*(Q38^-0.643)*(R38^1.92)*(S38^1.176)*(T38^0.0445)*(U38^0.45)*(V38^0.103)*(W38^0.149)</f>
        <v>675634.855707051</v>
      </c>
      <c r="O38" s="16" t="n">
        <f aca="false">73.99*(P38^0.126)*(Q38^-0.326)*(R38^0.473)*(S38^0.605)*(T38^-0.0271)*(U38^0.685)*(V38^0.00271)*(W38^0.193)</f>
        <v>248499.619296201</v>
      </c>
      <c r="P38" s="3" t="n">
        <v>112467</v>
      </c>
      <c r="Q38" s="3" t="n">
        <v>3.0105567351634</v>
      </c>
      <c r="R38" s="3" t="n">
        <v>0.0515</v>
      </c>
      <c r="S38" s="2" t="n">
        <v>0.851923837513099</v>
      </c>
      <c r="T38" s="3" t="n">
        <v>1.46305156831473</v>
      </c>
      <c r="U38" s="16" t="n">
        <v>23173.108</v>
      </c>
      <c r="V38" s="16" t="n">
        <v>7652.82</v>
      </c>
      <c r="W38" s="16" t="n">
        <v>4293.072</v>
      </c>
    </row>
    <row r="39" customFormat="false" ht="14.65" hidden="false" customHeight="false" outlineLevel="0" collapsed="false">
      <c r="A39" s="4" t="s">
        <v>46</v>
      </c>
      <c r="B39" s="22" t="n">
        <f aca="false">79221*($R39^1.83)*($S39^0.786)*($T39^0.00492)*0.439*($U39^-0.561)*($V39^0.225)*($W39^0.179)/1000</f>
        <v>0.0215474760437979</v>
      </c>
      <c r="C39" s="22" t="n">
        <f aca="false">79221*($R39^1.83)*($S39^0.786)*($T39^0.00492)*($U39^0.439)*0.225*($V39^-0.775)*($W39^0.179)/1000</f>
        <v>0.0223901889049795</v>
      </c>
      <c r="D39" s="22" t="n">
        <f aca="false">79221*($R39^1.83)*($S39^0.786)*($T39^0.00492)*($U39^0.439)*($V39^0.225)*0.179*($W39^-0.821)/1000</f>
        <v>0.0452924989105456</v>
      </c>
      <c r="E39" s="23" t="n">
        <f aca="false">+(C39*V39+D39*W39)/(V39+W39)</f>
        <v>0.0288548064741874</v>
      </c>
      <c r="F39" s="23"/>
      <c r="G39" s="4" t="s">
        <v>46</v>
      </c>
      <c r="H39" s="22" t="n">
        <f aca="false">73.99*($P39^0.126)*($Q39^-0.326)*($R39^0.473)*($S39^0.605)*($T39^-0.0271)*0.685*($U39^-0.315)*($V39^0.00271)*($W39^0.193)/1000</f>
        <v>0.00845501725373945</v>
      </c>
      <c r="I39" s="22" t="n">
        <f aca="false">73.99*($P39^0.126)*($Q39^-0.326)*($R39^0.473)*($S39^0.605)*($T39^-0.0271)*($U39^0.685)*0.00271*($V39^-0.997)*($W39^0.193)/1000</f>
        <v>6.7994067196229E-005</v>
      </c>
      <c r="J39" s="22" t="n">
        <f aca="false">73.99*($P39^0.126)*($Q39^-0.326)*($R39^0.473)*($S39^0.605)*($T39^-0.0271)*($U39^0.685)*($V39^0.00271)*0.193*($W39^-0.803)/1000</f>
        <v>0.0126837882985237</v>
      </c>
      <c r="K39" s="22" t="n">
        <f aca="false">+(I39*V39+J39*W39)/(V39+W39)</f>
        <v>0.0036290446781403</v>
      </c>
      <c r="L39" s="16" t="n">
        <v>697221.478</v>
      </c>
      <c r="M39" s="16" t="n">
        <v>274651</v>
      </c>
      <c r="N39" s="16" t="n">
        <f aca="false">71682*(P39^0.183)*(Q39^-0.643)*(R39^1.92)*(S39^1.176)*(T39^0.0445)*(U39^0.45)*(V39^0.103)*(W39^0.149)</f>
        <v>674138.632373655</v>
      </c>
      <c r="O39" s="16" t="n">
        <f aca="false">73.99*(P39^0.126)*(Q39^-0.326)*(R39^0.473)*(S39^0.605)*(T39^-0.0271)*(U39^0.685)*(V39^0.00271)*(W39^0.193)</f>
        <v>204296.644036838</v>
      </c>
      <c r="P39" s="3" t="n">
        <v>96036</v>
      </c>
      <c r="Q39" s="3" t="n">
        <v>3.00992142152199</v>
      </c>
      <c r="R39" s="3" t="n">
        <v>0.0515</v>
      </c>
      <c r="S39" s="2" t="n">
        <v>1.02245583747846</v>
      </c>
      <c r="T39" s="3" t="n">
        <v>1.46411483253589</v>
      </c>
      <c r="U39" s="16" t="n">
        <v>16551.498</v>
      </c>
      <c r="V39" s="16" t="n">
        <v>8163.83</v>
      </c>
      <c r="W39" s="16" t="n">
        <v>3210.672</v>
      </c>
    </row>
    <row r="40" customFormat="false" ht="14.65" hidden="false" customHeight="false" outlineLevel="0" collapsed="false">
      <c r="A40" s="4" t="s">
        <v>47</v>
      </c>
      <c r="B40" s="22" t="n">
        <f aca="false">79221*($R40^1.83)*($S40^0.786)*($T40^0.00492)*0.439*($U40^-0.561)*($V40^0.225)*($W40^0.179)/1000</f>
        <v>0.017425972211218</v>
      </c>
      <c r="C40" s="22" t="n">
        <f aca="false">79221*($R40^1.83)*($S40^0.786)*($T40^0.00492)*($U40^0.439)*0.225*($V40^-0.775)*($W40^0.179)/1000</f>
        <v>0.0373274380007178</v>
      </c>
      <c r="D40" s="22" t="n">
        <f aca="false">79221*($R40^1.83)*($S40^0.786)*($T40^0.00492)*($U40^0.439)*($V40^0.225)*0.179*($W40^-0.821)/1000</f>
        <v>0.0313927803086529</v>
      </c>
      <c r="E40" s="23" t="n">
        <f aca="false">+(C40*V40+D40*W40)/(V40+W40)</f>
        <v>0.0344425260990163</v>
      </c>
      <c r="F40" s="23"/>
      <c r="G40" s="4" t="s">
        <v>47</v>
      </c>
      <c r="H40" s="22" t="n">
        <f aca="false">73.99*($P40^0.126)*($Q40^-0.326)*($R40^0.473)*($S40^0.605)*($T40^-0.0271)*0.685*($U40^-0.315)*($V40^0.00271)*($W40^0.193)/1000</f>
        <v>0.00808588632124718</v>
      </c>
      <c r="I40" s="22" t="n">
        <f aca="false">73.99*($P40^0.126)*($Q40^-0.326)*($R40^0.473)*($S40^0.605)*($T40^-0.0271)*($U40^0.685)*0.00271*($V40^-0.997)*($W40^0.193)/1000</f>
        <v>0.000134068532746169</v>
      </c>
      <c r="J40" s="22" t="n">
        <f aca="false">73.99*($P40^0.126)*($Q40^-0.326)*($R40^0.473)*($S40^0.605)*($T40^-0.0271)*($U40^0.685)*($V40^0.00271)*0.193*($W40^-0.803)/1000</f>
        <v>0.0104567093047727</v>
      </c>
      <c r="K40" s="22" t="n">
        <f aca="false">+(I40*V40+J40*W40)/(V40+W40)</f>
        <v>0.00515203431365835</v>
      </c>
      <c r="L40" s="16" t="n">
        <v>2674559.19</v>
      </c>
      <c r="M40" s="16" t="n">
        <v>1120473</v>
      </c>
      <c r="N40" s="16" t="n">
        <f aca="false">71682*(P40^0.183)*(Q40^-0.643)*(R40^1.92)*(S40^1.176)*(T40^0.0445)*(U40^0.45)*(V40^0.103)*(W40^0.149)</f>
        <v>1944466.49078365</v>
      </c>
      <c r="O40" s="16" t="n">
        <f aca="false">73.99*(P40^0.126)*(Q40^-0.326)*(R40^0.473)*(S40^0.605)*(T40^-0.0271)*(U40^0.685)*(V40^0.00271)*(W40^0.193)</f>
        <v>718430.2087605</v>
      </c>
      <c r="P40" s="3" t="n">
        <v>117038</v>
      </c>
      <c r="Q40" s="3" t="n">
        <v>3.02158085470849</v>
      </c>
      <c r="R40" s="3" t="n">
        <v>0.0535</v>
      </c>
      <c r="S40" s="2" t="n">
        <v>1.09945841549001</v>
      </c>
      <c r="T40" s="3" t="n">
        <v>1.61935140882509</v>
      </c>
      <c r="U40" s="16" t="n">
        <v>60862.183</v>
      </c>
      <c r="V40" s="16" t="n">
        <v>14562.447</v>
      </c>
      <c r="W40" s="16" t="n">
        <v>13775.37</v>
      </c>
    </row>
    <row r="41" customFormat="false" ht="14.65" hidden="false" customHeight="false" outlineLevel="0" collapsed="false">
      <c r="A41" s="4" t="s">
        <v>48</v>
      </c>
      <c r="B41" s="22" t="n">
        <f aca="false">79221*($R41^1.83)*($S41^0.786)*($T41^0.00492)*0.439*($U41^-0.561)*($V41^0.225)*($W41^0.179)/1000</f>
        <v>0.0202382375065025</v>
      </c>
      <c r="C41" s="22" t="n">
        <f aca="false">79221*($R41^1.83)*($S41^0.786)*($T41^0.00492)*($U41^0.439)*0.225*($V41^-0.775)*($W41^0.179)/1000</f>
        <v>0.0568743501446931</v>
      </c>
      <c r="D41" s="22" t="n">
        <f aca="false">79221*($R41^1.83)*($S41^0.786)*($T41^0.00492)*($U41^0.439)*($V41^0.225)*0.179*($W41^-0.821)/1000</f>
        <v>0.101585597821351</v>
      </c>
      <c r="E41" s="23" t="n">
        <f aca="false">+(C41*V41+D41*W41)/(V41+W41)</f>
        <v>0.070652221920408</v>
      </c>
      <c r="F41" s="23"/>
      <c r="G41" s="4" t="s">
        <v>48</v>
      </c>
      <c r="H41" s="22" t="n">
        <f aca="false">73.99*($P41^0.126)*($Q41^-0.326)*($R41^0.473)*($S41^0.605)*($T41^-0.0271)*0.685*($U41^-0.315)*($V41^0.00271)*($W41^0.193)/1000</f>
        <v>0.00613223113338841</v>
      </c>
      <c r="I41" s="22" t="n">
        <f aca="false">73.99*($P41^0.126)*($Q41^-0.326)*($R41^0.473)*($S41^0.605)*($T41^-0.0271)*($U41^0.685)*0.00271*($V41^-0.997)*($W41^0.193)/1000</f>
        <v>0.000133291963533722</v>
      </c>
      <c r="J41" s="22" t="n">
        <f aca="false">73.99*($P41^0.126)*($Q41^-0.326)*($R41^0.473)*($S41^0.605)*($T41^-0.0271)*($U41^0.685)*($V41^0.00271)*0.193*($W41^-0.803)/1000</f>
        <v>0.0218023102198011</v>
      </c>
      <c r="K41" s="22" t="n">
        <f aca="false">+(I41*V41+J41*W41)/(V41+W41)</f>
        <v>0.00681064879328595</v>
      </c>
      <c r="L41" s="16" t="n">
        <v>192876.138</v>
      </c>
      <c r="M41" s="16" t="n">
        <v>65703</v>
      </c>
      <c r="N41" s="16" t="n">
        <f aca="false">71682*(P41^0.183)*(Q41^-0.643)*(R41^1.92)*(S41^1.176)*(T41^0.0445)*(U41^0.45)*(V41^0.103)*(W41^0.149)</f>
        <v>192367.150479023</v>
      </c>
      <c r="O41" s="16" t="n">
        <f aca="false">73.99*(P41^0.126)*(Q41^-0.326)*(R41^0.473)*(S41^0.605)*(T41^-0.0271)*(U41^0.685)*(V41^0.00271)*(W41^0.193)</f>
        <v>53552.3895449048</v>
      </c>
      <c r="P41" s="3" t="n">
        <v>6057</v>
      </c>
      <c r="Q41" s="3" t="n">
        <v>3.0586774851994</v>
      </c>
      <c r="R41" s="3" t="n">
        <v>0.0535</v>
      </c>
      <c r="S41" s="2" t="n">
        <v>1.14193498098969</v>
      </c>
      <c r="T41" s="3" t="n">
        <v>1.65709728867624</v>
      </c>
      <c r="U41" s="16" t="n">
        <v>5982.062</v>
      </c>
      <c r="V41" s="16" t="n">
        <v>1091.001</v>
      </c>
      <c r="W41" s="16" t="n">
        <v>485.937</v>
      </c>
    </row>
    <row r="42" customFormat="false" ht="14.65" hidden="false" customHeight="false" outlineLevel="0" collapsed="false">
      <c r="A42" s="5" t="s">
        <v>49</v>
      </c>
      <c r="B42" s="22" t="n">
        <f aca="false">79221*($R42^1.83)*($S42^0.786)*($T42^0.00492)*0.439*($U42^-0.561)*($V42^0.225)*($W42^0.179)/1000</f>
        <v>0.0121855185953619</v>
      </c>
      <c r="C42" s="22" t="n">
        <f aca="false">79221*($R42^1.83)*($S42^0.786)*($T42^0.00492)*($U42^0.439)*0.225*($V42^-0.775)*($W42^0.179)/1000</f>
        <v>0.0407118145603441</v>
      </c>
      <c r="D42" s="22" t="n">
        <f aca="false">79221*($R42^1.83)*($S42^0.786)*($T42^0.00492)*($U42^0.439)*($V42^0.225)*0.179*($W42^-0.821)/1000</f>
        <v>0.0229256526019962</v>
      </c>
      <c r="E42" s="23" t="n">
        <f aca="false">+(C42*V42+D42*W42)/(V42+W42)</f>
        <v>0.0302973518044098</v>
      </c>
      <c r="F42" s="23"/>
      <c r="G42" s="5" t="s">
        <v>49</v>
      </c>
      <c r="H42" s="22" t="n">
        <f aca="false">73.99*($P42^0.126)*($Q42^-0.326)*($R42^0.473)*($S42^0.605)*($T42^-0.0271)*0.685*($U42^-0.315)*($V42^0.00271)*($W42^0.193)/1000</f>
        <v>0.0068832765269484</v>
      </c>
      <c r="I42" s="22" t="n">
        <f aca="false">73.99*($P42^0.126)*($Q42^-0.326)*($R42^0.473)*($S42^0.605)*($T42^-0.0271)*($U42^0.685)*0.00271*($V42^-0.997)*($W42^0.193)/1000</f>
        <v>0.000177940403273732</v>
      </c>
      <c r="J42" s="22" t="n">
        <f aca="false">73.99*($P42^0.126)*($Q42^-0.326)*($R42^0.473)*($S42^0.605)*($T42^-0.0271)*($U42^0.685)*($V42^0.00271)*0.193*($W42^-0.803)/1000</f>
        <v>0.00926246182269666</v>
      </c>
      <c r="K42" s="22" t="n">
        <f aca="false">+(I42*V42+J42*W42)/(V42+W42)</f>
        <v>0.00549726731593926</v>
      </c>
      <c r="L42" s="16" t="n">
        <v>538620.01</v>
      </c>
      <c r="M42" s="16" t="n">
        <v>266278</v>
      </c>
      <c r="N42" s="16" t="n">
        <f aca="false">71682*(P42^0.183)*(Q42^-0.643)*(R42^1.92)*(S42^1.176)*(T42^0.0445)*(U42^0.45)*(V42^0.103)*(W42^0.149)</f>
        <v>552938.139271981</v>
      </c>
      <c r="O42" s="16" t="n">
        <f aca="false">73.99*(P42^0.126)*(Q42^-0.326)*(R42^0.473)*(S42^0.605)*(T42^-0.0271)*(U42^0.685)*(V42^0.00271)*(W42^0.193)</f>
        <v>257050.224160353</v>
      </c>
      <c r="P42" s="3" t="n">
        <v>64158</v>
      </c>
      <c r="Q42" s="3" t="n">
        <v>3.01696359569449</v>
      </c>
      <c r="R42" s="3" t="n">
        <v>0.0475</v>
      </c>
      <c r="S42" s="2" t="n">
        <v>0.888621528850345</v>
      </c>
      <c r="T42" s="3" t="n">
        <v>1.32323232323232</v>
      </c>
      <c r="U42" s="16" t="n">
        <v>25580.754</v>
      </c>
      <c r="V42" s="16" t="n">
        <v>3924.234</v>
      </c>
      <c r="W42" s="16" t="n">
        <v>5544.012</v>
      </c>
    </row>
    <row r="43" customFormat="false" ht="14.65" hidden="false" customHeight="false" outlineLevel="0" collapsed="false">
      <c r="A43" s="4" t="s">
        <v>50</v>
      </c>
      <c r="B43" s="22" t="n">
        <f aca="false">79221*($R43^1.83)*($S43^0.786)*($T43^0.00492)*0.439*($U43^-0.561)*($V43^0.225)*($W43^0.179)/1000</f>
        <v>0.0166589598442998</v>
      </c>
      <c r="C43" s="22" t="n">
        <f aca="false">79221*($R43^1.83)*($S43^0.786)*($T43^0.00492)*($U43^0.439)*0.225*($V43^-0.775)*($W43^0.179)/1000</f>
        <v>0.0385577892967659</v>
      </c>
      <c r="D43" s="22" t="n">
        <f aca="false">79221*($R43^1.83)*($S43^0.786)*($T43^0.00492)*($U43^0.439)*($V43^0.225)*0.179*($W43^-0.821)/1000</f>
        <v>0.0565712463956274</v>
      </c>
      <c r="E43" s="23" t="n">
        <f aca="false">+(C43*V43+D43*W43)/(V43+W43)</f>
        <v>0.0448911414445729</v>
      </c>
      <c r="F43" s="23"/>
      <c r="G43" s="4" t="s">
        <v>50</v>
      </c>
      <c r="H43" s="22" t="n">
        <f aca="false">73.99*($P43^0.126)*($Q43^-0.326)*($R43^0.473)*($S43^0.605)*($T43^-0.0271)*0.685*($U43^-0.315)*($V43^0.00271)*($W43^0.193)/1000</f>
        <v>0.00763647300079395</v>
      </c>
      <c r="I43" s="22" t="n">
        <f aca="false">73.99*($P43^0.126)*($Q43^-0.326)*($R43^0.473)*($S43^0.605)*($T43^-0.0271)*($U43^0.685)*0.00271*($V43^-0.997)*($W43^0.193)/1000</f>
        <v>0.000136713011104524</v>
      </c>
      <c r="J43" s="22" t="n">
        <f aca="false">73.99*($P43^0.126)*($Q43^-0.326)*($R43^0.473)*($S43^0.605)*($T43^-0.0271)*($U43^0.685)*($V43^0.00271)*0.193*($W43^-0.803)/1000</f>
        <v>0.0183890785187853</v>
      </c>
      <c r="K43" s="22" t="n">
        <f aca="false">+(I43*V43+J43*W43)/(V43+W43)</f>
        <v>0.00655406297653314</v>
      </c>
      <c r="L43" s="16" t="n">
        <v>287239.62</v>
      </c>
      <c r="M43" s="16" t="n">
        <v>83892</v>
      </c>
      <c r="N43" s="16" t="n">
        <f aca="false">71682*(P43^0.183)*(Q43^-0.643)*(R43^1.92)*(S43^1.176)*(T43^0.0445)*(U43^0.45)*(V43^0.103)*(W43^0.149)</f>
        <v>190552.134804496</v>
      </c>
      <c r="O43" s="16" t="n">
        <f aca="false">73.99*(P43^0.126)*(Q43^-0.326)*(R43^0.473)*(S43^0.605)*(T43^-0.0271)*(U43^0.685)*(V43^0.00271)*(W43^0.193)</f>
        <v>59982.5667937487</v>
      </c>
      <c r="P43" s="3" t="n">
        <v>83305</v>
      </c>
      <c r="Q43" s="3" t="n">
        <v>3.008174779425</v>
      </c>
      <c r="R43" s="3" t="n">
        <v>0.0525</v>
      </c>
      <c r="S43" s="2" t="n">
        <v>0.793656590384854</v>
      </c>
      <c r="T43" s="3" t="n">
        <v>0.680489101541733</v>
      </c>
      <c r="U43" s="16" t="n">
        <v>5380.502</v>
      </c>
      <c r="V43" s="16" t="n">
        <v>1191.452</v>
      </c>
      <c r="W43" s="16" t="n">
        <v>646.046</v>
      </c>
    </row>
    <row r="44" customFormat="false" ht="14.65" hidden="false" customHeight="false" outlineLevel="0" collapsed="false">
      <c r="A44" s="4" t="s">
        <v>51</v>
      </c>
      <c r="B44" s="22" t="n">
        <f aca="false">79221*($R44^1.83)*($S44^0.786)*($T44^0.00492)*0.439*($U44^-0.561)*($V44^0.225)*($W44^0.179)/1000</f>
        <v>0.0134186483412538</v>
      </c>
      <c r="C44" s="22" t="n">
        <f aca="false">79221*($R44^1.83)*($S44^0.786)*($T44^0.00492)*($U44^0.439)*0.225*($V44^-0.775)*($W44^0.179)/1000</f>
        <v>0.026575138097651</v>
      </c>
      <c r="D44" s="22" t="n">
        <f aca="false">79221*($R44^1.83)*($S44^0.786)*($T44^0.00492)*($U44^0.439)*($V44^0.225)*0.179*($W44^-0.821)/1000</f>
        <v>0.0250242219240872</v>
      </c>
      <c r="E44" s="23" t="n">
        <f aca="false">+(C44*V44+D44*W44)/(V44+W44)</f>
        <v>0.0258648900564036</v>
      </c>
      <c r="F44" s="23"/>
      <c r="G44" s="4" t="s">
        <v>51</v>
      </c>
      <c r="H44" s="22" t="n">
        <f aca="false">73.99*($P44^0.126)*($Q44^-0.326)*($R44^0.473)*($S44^0.605)*($T44^-0.0271)*0.685*($U44^-0.315)*($V44^0.00271)*($W44^0.193)/1000</f>
        <v>0.00705076810328414</v>
      </c>
      <c r="I44" s="22" t="n">
        <f aca="false">73.99*($P44^0.126)*($Q44^-0.326)*($R44^0.473)*($S44^0.605)*($T44^-0.0271)*($U44^0.685)*0.00271*($V44^-0.997)*($W44^0.193)/1000</f>
        <v>0.000108070508668175</v>
      </c>
      <c r="J44" s="22" t="n">
        <f aca="false">73.99*($P44^0.126)*($Q44^-0.326)*($R44^0.473)*($S44^0.605)*($T44^-0.0271)*($U44^0.685)*($V44^0.00271)*0.193*($W44^-0.803)/1000</f>
        <v>0.00941549274519641</v>
      </c>
      <c r="K44" s="22" t="n">
        <f aca="false">+(I44*V44+J44*W44)/(V44+W44)</f>
        <v>0.00437044040669213</v>
      </c>
      <c r="L44" s="16" t="n">
        <v>956715.94</v>
      </c>
      <c r="M44" s="16" t="n">
        <v>323422</v>
      </c>
      <c r="N44" s="16" t="n">
        <f aca="false">71682*(P44^0.183)*(Q44^-0.643)*(R44^1.92)*(S44^1.176)*(T44^0.0445)*(U44^0.45)*(V44^0.103)*(W44^0.149)</f>
        <v>769924.716570436</v>
      </c>
      <c r="O44" s="16" t="n">
        <f aca="false">73.99*(P44^0.126)*(Q44^-0.326)*(R44^0.473)*(S44^0.605)*(T44^-0.0271)*(U44^0.685)*(V44^0.00271)*(W44^0.193)</f>
        <v>348301.325844003</v>
      </c>
      <c r="P44" s="3" t="n">
        <v>85037</v>
      </c>
      <c r="Q44" s="3" t="n">
        <v>3.018488076576</v>
      </c>
      <c r="R44" s="3" t="n">
        <v>0.0475</v>
      </c>
      <c r="S44" s="2" t="n">
        <v>0.913282966358826</v>
      </c>
      <c r="T44" s="3" t="n">
        <v>1.21105794790005</v>
      </c>
      <c r="U44" s="16" t="n">
        <v>33838.357</v>
      </c>
      <c r="V44" s="16" t="n">
        <v>8757.104</v>
      </c>
      <c r="W44" s="16" t="n">
        <v>7398.539</v>
      </c>
    </row>
    <row r="45" customFormat="false" ht="14.65" hidden="false" customHeight="false" outlineLevel="0" collapsed="false">
      <c r="A45" s="4" t="s">
        <v>52</v>
      </c>
      <c r="B45" s="22" t="n">
        <f aca="false">79221*($R45^1.83)*($S45^0.786)*($T45^0.00492)*0.439*($U45^-0.561)*($V45^0.225)*($W45^0.179)/1000</f>
        <v>0.0126390090946311</v>
      </c>
      <c r="C45" s="22" t="n">
        <f aca="false">79221*($R45^1.83)*($S45^0.786)*($T45^0.00492)*($U45^0.439)*0.225*($V45^-0.775)*($W45^0.179)/1000</f>
        <v>0.0222580234156653</v>
      </c>
      <c r="D45" s="22" t="n">
        <f aca="false">79221*($R45^1.83)*($S45^0.786)*($T45^0.00492)*($U45^0.439)*($V45^0.225)*0.179*($W45^-0.821)/1000</f>
        <v>0.031537203854345</v>
      </c>
      <c r="E45" s="23" t="n">
        <f aca="false">+(C45*V45+D45*W45)/(V45+W45)</f>
        <v>0.0255946472593606</v>
      </c>
      <c r="F45" s="23"/>
      <c r="G45" s="4" t="s">
        <v>52</v>
      </c>
      <c r="H45" s="22" t="n">
        <f aca="false">73.99*($P45^0.126)*($Q45^-0.326)*($R45^0.473)*($S45^0.605)*($T45^-0.0271)*0.685*($U45^-0.315)*($V45^0.00271)*($W45^0.193)/1000</f>
        <v>0.00697875332398794</v>
      </c>
      <c r="I45" s="22" t="n">
        <f aca="false">73.99*($P45^0.126)*($Q45^-0.326)*($R45^0.473)*($S45^0.605)*($T45^-0.0271)*($U45^0.685)*0.00271*($V45^-0.997)*($W45^0.193)/1000</f>
        <v>9.51527376447119E-005</v>
      </c>
      <c r="J45" s="22" t="n">
        <f aca="false">73.99*($P45^0.126)*($Q45^-0.326)*($R45^0.473)*($S45^0.605)*($T45^-0.0271)*($U45^0.685)*($V45^0.00271)*0.193*($W45^-0.803)/1000</f>
        <v>0.0125147106165893</v>
      </c>
      <c r="K45" s="22" t="n">
        <f aca="false">+(I45*V45+J45*W45)/(V45+W45)</f>
        <v>0.00456099896413929</v>
      </c>
      <c r="L45" s="16" t="n">
        <v>4206402.996</v>
      </c>
      <c r="M45" s="16" t="n">
        <v>1937217</v>
      </c>
      <c r="N45" s="16" t="n">
        <f aca="false">71682*(P45^0.183)*(Q45^-0.643)*(R45^1.92)*(S45^1.176)*(T45^0.0445)*(U45^0.45)*(V45^0.103)*(W45^0.149)</f>
        <v>2592128.32838554</v>
      </c>
      <c r="O45" s="16" t="n">
        <f aca="false">73.99*(P45^0.126)*(Q45^-0.326)*(R45^0.473)*(S45^0.605)*(T45^-0.0271)*(U45^0.685)*(V45^0.00271)*(W45^0.193)</f>
        <v>1144072.28732436</v>
      </c>
      <c r="P45" s="3" t="n">
        <v>294142</v>
      </c>
      <c r="Q45" s="3" t="n">
        <v>3.02235915870122</v>
      </c>
      <c r="R45" s="3" t="n">
        <v>0.0515</v>
      </c>
      <c r="S45" s="2" t="n">
        <v>0.918620143133049</v>
      </c>
      <c r="T45" s="3" t="n">
        <v>1.68846358320043</v>
      </c>
      <c r="U45" s="16" t="n">
        <v>112296.492</v>
      </c>
      <c r="V45" s="16" t="n">
        <v>32682.15</v>
      </c>
      <c r="W45" s="16" t="n">
        <v>18350.358</v>
      </c>
    </row>
    <row r="46" customFormat="false" ht="14.65" hidden="false" customHeight="false" outlineLevel="0" collapsed="false">
      <c r="A46" s="5" t="s">
        <v>53</v>
      </c>
      <c r="B46" s="22" t="n">
        <f aca="false">79221*($R46^1.83)*($S46^0.786)*($T46^0.00492)*0.439*($U46^-0.561)*($V46^0.225)*($W46^0.179)/1000</f>
        <v>0.015136995921906</v>
      </c>
      <c r="C46" s="22" t="n">
        <f aca="false">79221*($R46^1.83)*($S46^0.786)*($T46^0.00492)*($U46^0.439)*0.225*($V46^-0.775)*($W46^0.179)/1000</f>
        <v>0.0254066202997026</v>
      </c>
      <c r="D46" s="22" t="n">
        <f aca="false">79221*($R46^1.83)*($S46^0.786)*($T46^0.00492)*($U46^0.439)*($V46^0.225)*0.179*($W46^-0.821)/1000</f>
        <v>0.0420440330504148</v>
      </c>
      <c r="E46" s="23" t="n">
        <f aca="false">+(C46*V46+D46*W46)/(V46+W46)</f>
        <v>0.0308081792551404</v>
      </c>
      <c r="F46" s="23"/>
      <c r="G46" s="5" t="s">
        <v>53</v>
      </c>
      <c r="H46" s="22" t="n">
        <f aca="false">73.99*($P46^0.126)*($Q46^-0.326)*($R46^0.473)*($S46^0.605)*($T46^-0.0271)*0.685*($U46^-0.315)*($V46^0.00271)*($W46^0.193)/1000</f>
        <v>0.00666541450650844</v>
      </c>
      <c r="I46" s="22" t="n">
        <f aca="false">73.99*($P46^0.126)*($Q46^-0.326)*($R46^0.473)*($S46^0.605)*($T46^-0.0271)*($U46^0.685)*0.00271*($V46^-0.997)*($W46^0.193)/1000</f>
        <v>8.65606056841312E-005</v>
      </c>
      <c r="J46" s="22" t="n">
        <f aca="false">73.99*($P46^0.126)*($Q46^-0.326)*($R46^0.473)*($S46^0.605)*($T46^-0.0271)*($U46^0.685)*($V46^0.00271)*0.193*($W46^-0.803)/1000</f>
        <v>0.0131776630881468</v>
      </c>
      <c r="K46" s="22" t="n">
        <f aca="false">+(I46*V46+J46*W46)/(V46+W46)</f>
        <v>0.00433676241952519</v>
      </c>
      <c r="L46" s="16" t="n">
        <v>378172.36</v>
      </c>
      <c r="M46" s="16" t="n">
        <v>132076</v>
      </c>
      <c r="N46" s="16" t="n">
        <f aca="false">71682*(P46^0.183)*(Q46^-0.643)*(R46^1.92)*(S46^1.176)*(T46^0.0445)*(U46^0.45)*(V46^0.103)*(W46^0.149)</f>
        <v>288850.026129854</v>
      </c>
      <c r="O46" s="16" t="n">
        <f aca="false">73.99*(P46^0.126)*(Q46^-0.326)*(R46^0.473)*(S46^0.605)*(T46^-0.0271)*(U46^0.685)*(V46^0.00271)*(W46^0.193)</f>
        <v>109268.932667913</v>
      </c>
      <c r="P46" s="3" t="n">
        <v>40508</v>
      </c>
      <c r="Q46" s="3" t="n">
        <v>3.03164627188816</v>
      </c>
      <c r="R46" s="3" t="n">
        <v>0.0475</v>
      </c>
      <c r="S46" s="2" t="n">
        <v>0.891529369989405</v>
      </c>
      <c r="T46" s="3" t="n">
        <v>1.29930887825625</v>
      </c>
      <c r="U46" s="16" t="n">
        <v>11229.492</v>
      </c>
      <c r="V46" s="16" t="n">
        <v>3429.027</v>
      </c>
      <c r="W46" s="16" t="n">
        <v>1648.481</v>
      </c>
    </row>
    <row r="47" customFormat="false" ht="14.65" hidden="false" customHeight="false" outlineLevel="0" collapsed="false">
      <c r="A47" s="4" t="s">
        <v>54</v>
      </c>
      <c r="B47" s="22" t="n">
        <f aca="false">79221*($R47^1.83)*($S47^0.786)*($T47^0.00492)*0.439*($U47^-0.561)*($V47^0.225)*($W47^0.179)/1000</f>
        <v>0.0157846980990178</v>
      </c>
      <c r="C47" s="22" t="n">
        <f aca="false">79221*($R47^1.83)*($S47^0.786)*($T47^0.00492)*($U47^0.439)*0.225*($V47^-0.775)*($W47^0.179)/1000</f>
        <v>0.0427419578384754</v>
      </c>
      <c r="D47" s="22" t="n">
        <f aca="false">79221*($R47^1.83)*($S47^0.786)*($T47^0.00492)*($U47^0.439)*($V47^0.225)*0.179*($W47^-0.821)/1000</f>
        <v>0.105633187668187</v>
      </c>
      <c r="E47" s="23" t="n">
        <f aca="false">+(C47*V47+D47*W47)/(V47+W47)</f>
        <v>0.0580568927790057</v>
      </c>
      <c r="F47" s="23"/>
      <c r="G47" s="4" t="s">
        <v>54</v>
      </c>
      <c r="H47" s="22" t="n">
        <f aca="false">73.99*($P47^0.126)*($Q47^-0.326)*($R47^0.473)*($S47^0.605)*($T47^-0.0271)*0.685*($U47^-0.315)*($V47^0.00271)*($W47^0.193)/1000</f>
        <v>0.00572316613229623</v>
      </c>
      <c r="I47" s="22" t="n">
        <f aca="false">73.99*($P47^0.126)*($Q47^-0.326)*($R47^0.473)*($S47^0.605)*($T47^-0.0271)*($U47^0.685)*0.00271*($V47^-0.997)*($W47^0.193)/1000</f>
        <v>0.0001198597871853</v>
      </c>
      <c r="J47" s="22" t="n">
        <f aca="false">73.99*($P47^0.126)*($Q47^-0.326)*($R47^0.473)*($S47^0.605)*($T47^-0.0271)*($U47^0.685)*($V47^0.00271)*0.193*($W47^-0.803)/1000</f>
        <v>0.02707373368852</v>
      </c>
      <c r="K47" s="22" t="n">
        <f aca="false">+(I47*V47+J47*W47)/(V47+W47)</f>
        <v>0.00668352257946838</v>
      </c>
      <c r="L47" s="16" t="n">
        <v>158338.898</v>
      </c>
      <c r="M47" s="16" t="n">
        <v>45887</v>
      </c>
      <c r="N47" s="16" t="n">
        <f aca="false">71682*(P47^0.183)*(Q47^-0.643)*(R47^1.92)*(S47^1.176)*(T47^0.0445)*(U47^0.45)*(V47^0.103)*(W47^0.149)</f>
        <v>135031.486835952</v>
      </c>
      <c r="O47" s="16" t="n">
        <f aca="false">73.99*(P47^0.126)*(Q47^-0.326)*(R47^0.473)*(S47^0.605)*(T47^-0.0271)*(U47^0.685)*(V47^0.00271)*(W47^0.193)</f>
        <v>40224.2747398911</v>
      </c>
      <c r="P47" s="3" t="n">
        <v>14166</v>
      </c>
      <c r="Q47" s="3" t="n">
        <v>3.02400112946492</v>
      </c>
      <c r="R47" s="3" t="n">
        <v>0.0515</v>
      </c>
      <c r="S47" s="2" t="n">
        <v>0.919798002834947</v>
      </c>
      <c r="T47" s="3" t="n">
        <v>1.74534821903243</v>
      </c>
      <c r="U47" s="16" t="n">
        <v>4814.403</v>
      </c>
      <c r="V47" s="16" t="n">
        <v>911.26</v>
      </c>
      <c r="W47" s="16" t="n">
        <v>293.337</v>
      </c>
    </row>
    <row r="48" customFormat="false" ht="14.65" hidden="false" customHeight="false" outlineLevel="0" collapsed="false">
      <c r="A48" s="4" t="s">
        <v>55</v>
      </c>
      <c r="B48" s="22" t="n">
        <f aca="false">79221*($R48^1.83)*($S48^0.786)*($T48^0.00492)*0.439*($U48^-0.561)*($V48^0.225)*($W48^0.179)/1000</f>
        <v>0.0127647611064211</v>
      </c>
      <c r="C48" s="22" t="n">
        <f aca="false">79221*($R48^1.83)*($S48^0.786)*($T48^0.00492)*($U48^0.439)*0.225*($V48^-0.775)*($W48^0.179)/1000</f>
        <v>0.0290605741792224</v>
      </c>
      <c r="D48" s="22" t="n">
        <f aca="false">79221*($R48^1.83)*($S48^0.786)*($T48^0.00492)*($U48^0.439)*($V48^0.225)*0.179*($W48^-0.821)/1000</f>
        <v>0.0397137819062388</v>
      </c>
      <c r="E48" s="23" t="n">
        <f aca="false">+(C48*V48+D48*W48)/(V48+W48)</f>
        <v>0.0329803996318816</v>
      </c>
      <c r="F48" s="23"/>
      <c r="G48" s="4" t="s">
        <v>55</v>
      </c>
      <c r="H48" s="22" t="n">
        <f aca="false">73.99*($P48^0.126)*($Q48^-0.326)*($R48^0.473)*($S48^0.605)*($T48^-0.0271)*0.685*($U48^-0.315)*($V48^0.00271)*($W48^0.193)/1000</f>
        <v>0.00654470018434086</v>
      </c>
      <c r="I48" s="22" t="n">
        <f aca="false">73.99*($P48^0.126)*($Q48^-0.326)*($R48^0.473)*($S48^0.605)*($T48^-0.0271)*($U48^0.685)*0.00271*($V48^-0.997)*($W48^0.193)/1000</f>
        <v>0.000115321028673182</v>
      </c>
      <c r="J48" s="22" t="n">
        <f aca="false">73.99*($P48^0.126)*($Q48^-0.326)*($R48^0.473)*($S48^0.605)*($T48^-0.0271)*($U48^0.685)*($V48^0.00271)*0.193*($W48^-0.803)/1000</f>
        <v>0.0145695704762178</v>
      </c>
      <c r="K48" s="22" t="n">
        <f aca="false">+(I48*V48+J48*W48)/(V48+W48)</f>
        <v>0.00543373181492743</v>
      </c>
      <c r="L48" s="16" t="n">
        <v>1591538.04</v>
      </c>
      <c r="M48" s="16" t="n">
        <v>740430</v>
      </c>
      <c r="N48" s="16" t="n">
        <f aca="false">71682*(P48^0.183)*(Q48^-0.643)*(R48^1.92)*(S48^1.176)*(T48^0.0445)*(U48^0.45)*(V48^0.103)*(W48^0.149)</f>
        <v>1022377.50918394</v>
      </c>
      <c r="O48" s="16" t="n">
        <f aca="false">73.99*(P48^0.126)*(Q48^-0.326)*(R48^0.473)*(S48^0.605)*(T48^-0.0271)*(U48^0.685)*(V48^0.00271)*(W48^0.193)</f>
        <v>446983.885313883</v>
      </c>
      <c r="P48" s="3" t="n">
        <v>68429</v>
      </c>
      <c r="Q48" s="3" t="n">
        <v>3.03122065149318</v>
      </c>
      <c r="R48" s="3" t="n">
        <v>0.0475</v>
      </c>
      <c r="S48" s="2" t="n">
        <v>1.06846598208383</v>
      </c>
      <c r="T48" s="3" t="n">
        <v>1.34662413609782</v>
      </c>
      <c r="U48" s="16" t="n">
        <v>46783.497</v>
      </c>
      <c r="V48" s="16" t="n">
        <v>10532.202</v>
      </c>
      <c r="W48" s="16" t="n">
        <v>6131.301</v>
      </c>
    </row>
    <row r="49" customFormat="false" ht="14.65" hidden="false" customHeight="false" outlineLevel="0" collapsed="false">
      <c r="A49" s="4" t="s">
        <v>56</v>
      </c>
      <c r="B49" s="22" t="n">
        <f aca="false">79221*($R49^1.83)*($S49^0.786)*($T49^0.00492)*0.439*($U49^-0.561)*($V49^0.225)*($W49^0.179)/1000</f>
        <v>0.0167544585085394</v>
      </c>
      <c r="C49" s="22" t="n">
        <f aca="false">79221*($R49^1.83)*($S49^0.786)*($T49^0.00492)*($U49^0.439)*0.225*($V49^-0.775)*($W49^0.179)/1000</f>
        <v>0.0232086644623951</v>
      </c>
      <c r="D49" s="22" t="n">
        <f aca="false">79221*($R49^1.83)*($S49^0.786)*($T49^0.00492)*($U49^0.439)*($V49^0.225)*0.179*($W49^-0.821)/1000</f>
        <v>0.0721836651136176</v>
      </c>
      <c r="E49" s="23" t="n">
        <f aca="false">+(C49*V49+D49*W49)/(V49+W49)</f>
        <v>0.0331842761571614</v>
      </c>
      <c r="F49" s="23"/>
      <c r="G49" s="4" t="s">
        <v>56</v>
      </c>
      <c r="H49" s="22" t="n">
        <f aca="false">73.99*($P49^0.126)*($Q49^-0.326)*($R49^0.473)*($S49^0.605)*($T49^-0.0271)*0.685*($U49^-0.315)*($V49^0.00271)*($W49^0.193)/1000</f>
        <v>0.00685680229929784</v>
      </c>
      <c r="I49" s="22" t="n">
        <f aca="false">73.99*($P49^0.126)*($Q49^-0.326)*($R49^0.473)*($S49^0.605)*($T49^-0.0271)*($U49^0.685)*0.00271*($V49^-0.997)*($W49^0.193)/1000</f>
        <v>7.35173702105088E-005</v>
      </c>
      <c r="J49" s="22" t="n">
        <f aca="false">73.99*($P49^0.126)*($Q49^-0.326)*($R49^0.473)*($S49^0.605)*($T49^-0.0271)*($U49^0.685)*($V49^0.00271)*0.193*($W49^-0.803)/1000</f>
        <v>0.0210826015842561</v>
      </c>
      <c r="K49" s="22" t="n">
        <f aca="false">+(I49*V49+J49*W49)/(V49+W49)</f>
        <v>0.00435281218175086</v>
      </c>
      <c r="L49" s="16" t="n">
        <v>1227056.05</v>
      </c>
      <c r="M49" s="16" t="n">
        <v>476665</v>
      </c>
      <c r="N49" s="16" t="n">
        <f aca="false">71682*(P49^0.183)*(Q49^-0.643)*(R49^1.92)*(S49^1.176)*(T49^0.0445)*(U49^0.45)*(V49^0.103)*(W49^0.149)</f>
        <v>1011540.38431155</v>
      </c>
      <c r="O49" s="16" t="n">
        <f aca="false">73.99*(P49^0.126)*(Q49^-0.326)*(R49^0.473)*(S49^0.605)*(T49^-0.0271)*(U49^0.685)*(V49^0.00271)*(W49^0.193)</f>
        <v>337523.921028047</v>
      </c>
      <c r="P49" s="3" t="n">
        <v>79428</v>
      </c>
      <c r="Q49" s="3" t="n">
        <v>3.02470381897398</v>
      </c>
      <c r="R49" s="3" t="n">
        <v>0.0515</v>
      </c>
      <c r="S49" s="2" t="n">
        <v>1.09397400625305</v>
      </c>
      <c r="T49" s="3" t="n">
        <v>1.50398724082935</v>
      </c>
      <c r="U49" s="16" t="n">
        <v>33718.908</v>
      </c>
      <c r="V49" s="16" t="n">
        <v>12475.896</v>
      </c>
      <c r="W49" s="16" t="n">
        <v>3191.196</v>
      </c>
    </row>
    <row r="50" customFormat="false" ht="14.65" hidden="false" customHeight="false" outlineLevel="0" collapsed="false">
      <c r="A50" s="5" t="s">
        <v>57</v>
      </c>
      <c r="B50" s="22" t="n">
        <f aca="false">79221*($R50^1.83)*($S50^0.786)*($T50^0.00492)*0.439*($U50^-0.561)*($V50^0.225)*($W50^0.179)/1000</f>
        <v>0.0177323808175236</v>
      </c>
      <c r="C50" s="22" t="n">
        <f aca="false">79221*($R50^1.83)*($S50^0.786)*($T50^0.00492)*($U50^0.439)*0.225*($V50^-0.775)*($W50^0.179)/1000</f>
        <v>0.0477515243237626</v>
      </c>
      <c r="D50" s="22" t="n">
        <f aca="false">79221*($R50^1.83)*($S50^0.786)*($T50^0.00492)*($U50^0.439)*($V50^0.225)*0.179*($W50^-0.821)/1000</f>
        <v>0.0328170618528578</v>
      </c>
      <c r="E50" s="23" t="n">
        <f aca="false">+(C50*V50+D50*W50)/(V50+W50)</f>
        <v>0.0397388596741426</v>
      </c>
      <c r="F50" s="23"/>
      <c r="G50" s="5" t="s">
        <v>57</v>
      </c>
      <c r="H50" s="22" t="n">
        <f aca="false">73.99*($P50^0.126)*($Q50^-0.326)*($R50^0.473)*($S50^0.605)*($T50^-0.0271)*0.685*($U50^-0.315)*($V50^0.00271)*($W50^0.193)/1000</f>
        <v>0.00732411113281972</v>
      </c>
      <c r="I50" s="22" t="n">
        <f aca="false">73.99*($P50^0.126)*($Q50^-0.326)*($R50^0.473)*($S50^0.605)*($T50^-0.0271)*($U50^0.685)*0.00271*($V50^-0.997)*($W50^0.193)/1000</f>
        <v>0.000152583109960062</v>
      </c>
      <c r="J50" s="22" t="n">
        <f aca="false">73.99*($P50^0.126)*($Q50^-0.326)*($R50^0.473)*($S50^0.605)*($T50^-0.0271)*($U50^0.685)*($V50^0.00271)*0.193*($W50^-0.803)/1000</f>
        <v>0.00966513593508512</v>
      </c>
      <c r="K50" s="22" t="n">
        <f aca="false">+(I50*V50+J50*W50)/(V50+W50)</f>
        <v>0.00525627505053145</v>
      </c>
      <c r="L50" s="16" t="n">
        <v>700326.254</v>
      </c>
      <c r="M50" s="16" t="n">
        <v>214790</v>
      </c>
      <c r="N50" s="16" t="n">
        <f aca="false">71682*(P50^0.183)*(Q50^-0.643)*(R50^1.92)*(S50^1.176)*(T50^0.0445)*(U50^0.45)*(V50^0.103)*(W50^0.149)</f>
        <v>359180.036594688</v>
      </c>
      <c r="O50" s="16" t="n">
        <f aca="false">73.99*(P50^0.126)*(Q50^-0.326)*(R50^0.473)*(S50^0.605)*(T50^-0.0271)*(U50^0.685)*(V50^0.00271)*(W50^0.193)</f>
        <v>124896.580941482</v>
      </c>
      <c r="P50" s="3" t="n">
        <v>35045</v>
      </c>
      <c r="Q50" s="3" t="n">
        <v>3.01855861346459</v>
      </c>
      <c r="R50" s="3" t="n">
        <v>0.0535</v>
      </c>
      <c r="S50" s="2" t="n">
        <v>0.869186843769036</v>
      </c>
      <c r="T50" s="3" t="n">
        <v>1.4093567251462</v>
      </c>
      <c r="U50" s="16" t="n">
        <v>11681.166</v>
      </c>
      <c r="V50" s="16" t="n">
        <v>2223.228</v>
      </c>
      <c r="W50" s="16" t="n">
        <v>2573.606</v>
      </c>
    </row>
    <row r="51" customFormat="false" ht="14.65" hidden="false" customHeight="false" outlineLevel="0" collapsed="false">
      <c r="A51" s="4" t="s">
        <v>58</v>
      </c>
      <c r="B51" s="22" t="n">
        <f aca="false">79221*($R51^1.83)*($S51^0.786)*($T51^0.00492)*0.439*($U51^-0.561)*($V51^0.225)*($W51^0.179)/1000</f>
        <v>0.0135717061345542</v>
      </c>
      <c r="C51" s="22" t="n">
        <f aca="false">79221*($R51^1.83)*($S51^0.786)*($T51^0.00492)*($U51^0.439)*0.225*($V51^-0.775)*($W51^0.179)/1000</f>
        <v>0.0451112574092057</v>
      </c>
      <c r="D51" s="22" t="n">
        <f aca="false">79221*($R51^1.83)*($S51^0.786)*($T51^0.00492)*($U51^0.439)*($V51^0.225)*0.179*($W51^-0.821)/1000</f>
        <v>0.0372587770689738</v>
      </c>
      <c r="E51" s="23" t="n">
        <f aca="false">+(C51*V51+D51*W51)/(V51+W51)</f>
        <v>0.0412585673600295</v>
      </c>
      <c r="F51" s="23"/>
      <c r="G51" s="4" t="s">
        <v>58</v>
      </c>
      <c r="H51" s="22" t="n">
        <f aca="false">73.99*($P51^0.126)*($Q51^-0.326)*($R51^0.473)*($S51^0.605)*($T51^-0.0271)*0.685*($U51^-0.315)*($V51^0.00271)*($W51^0.193)/1000</f>
        <v>0.0078585787244786</v>
      </c>
      <c r="I51" s="22" t="n">
        <f aca="false">73.99*($P51^0.126)*($Q51^-0.326)*($R51^0.473)*($S51^0.605)*($T51^-0.0271)*($U51^0.685)*0.00271*($V51^-0.997)*($W51^0.193)/1000</f>
        <v>0.000202135702406004</v>
      </c>
      <c r="J51" s="22" t="n">
        <f aca="false">73.99*($P51^0.126)*($Q51^-0.326)*($R51^0.473)*($S51^0.605)*($T51^-0.0271)*($U51^0.685)*($V51^0.00271)*0.193*($W51^-0.803)/1000</f>
        <v>0.0154296334800019</v>
      </c>
      <c r="K51" s="22" t="n">
        <f aca="false">+(I51*V51+J51*W51)/(V51+W51)</f>
        <v>0.00767325649732471</v>
      </c>
      <c r="L51" s="16" t="n">
        <v>1141937.082</v>
      </c>
      <c r="M51" s="16" t="n">
        <v>463281</v>
      </c>
      <c r="N51" s="16" t="n">
        <f aca="false">71682*(P51^0.183)*(Q51^-0.643)*(R51^1.92)*(S51^1.176)*(T51^0.0445)*(U51^0.45)*(V51^0.103)*(W51^0.149)</f>
        <v>896127.856124004</v>
      </c>
      <c r="O51" s="16" t="n">
        <f aca="false">73.99*(P51^0.126)*(Q51^-0.326)*(R51^0.473)*(S51^0.605)*(T51^-0.0271)*(U51^0.685)*(V51^0.00271)*(W51^0.193)</f>
        <v>419435.922261597</v>
      </c>
      <c r="P51" s="3" t="n">
        <v>110978</v>
      </c>
      <c r="Q51" s="3" t="n">
        <v>3.01048147591276</v>
      </c>
      <c r="R51" s="3" t="n">
        <v>0.0515</v>
      </c>
      <c r="S51" s="2" t="n">
        <v>1.00221137385209</v>
      </c>
      <c r="T51" s="3" t="n">
        <v>0.110579479000532</v>
      </c>
      <c r="U51" s="16" t="n">
        <v>36560.505</v>
      </c>
      <c r="V51" s="16" t="n">
        <v>5637.411</v>
      </c>
      <c r="W51" s="16" t="n">
        <v>5430.084</v>
      </c>
    </row>
    <row r="52" customFormat="false" ht="14.65" hidden="false" customHeight="false" outlineLevel="0" collapsed="false">
      <c r="A52" s="4" t="s">
        <v>59</v>
      </c>
      <c r="B52" s="22" t="n">
        <f aca="false">79221*($R52^1.83)*($S52^0.786)*($T52^0.00492)*0.439*($U52^-0.561)*($V52^0.225)*($W52^0.179)/1000</f>
        <v>0.0331146891523948</v>
      </c>
      <c r="C52" s="22" t="n">
        <f aca="false">79221*($R52^1.83)*($S52^0.786)*($T52^0.00492)*($U52^0.439)*0.225*($V52^-0.775)*($W52^0.179)/1000</f>
        <v>0.0280900546244359</v>
      </c>
      <c r="D52" s="22" t="n">
        <f aca="false">79221*($R52^1.83)*($S52^0.786)*($T52^0.00492)*($U52^0.439)*($V52^0.225)*0.179*($W52^-0.821)/1000</f>
        <v>0.0215136058553178</v>
      </c>
      <c r="E52" s="23" t="n">
        <f aca="false">+(C52*V52+D52*W52)/(V52+W52)</f>
        <v>0.024739336143976</v>
      </c>
      <c r="F52" s="23"/>
      <c r="G52" s="4" t="s">
        <v>59</v>
      </c>
      <c r="H52" s="22" t="n">
        <f aca="false">73.99*($P52^0.126)*($Q52^-0.326)*($R52^0.473)*($S52^0.605)*($T52^-0.0271)*0.685*($U52^-0.315)*($V52^0.00271)*($W52^0.193)/1000</f>
        <v>0.0106805817462635</v>
      </c>
      <c r="I52" s="22" t="n">
        <f aca="false">73.99*($P52^0.126)*($Q52^-0.326)*($R52^0.473)*($S52^0.605)*($T52^-0.0271)*($U52^0.685)*0.00271*($V52^-0.997)*($W52^0.193)/1000</f>
        <v>7.00846811429006E-005</v>
      </c>
      <c r="J52" s="22" t="n">
        <f aca="false">73.99*($P52^0.126)*($Q52^-0.326)*($R52^0.473)*($S52^0.605)*($T52^-0.0271)*($U52^0.685)*($V52^0.00271)*0.193*($W52^-0.803)/1000</f>
        <v>0.00494010438859229</v>
      </c>
      <c r="K52" s="22" t="n">
        <f aca="false">+(I52*V52+J52*W52)/(V52+W52)</f>
        <v>0.00255137292755658</v>
      </c>
      <c r="L52" s="16" t="n">
        <v>303554.8</v>
      </c>
      <c r="M52" s="16" t="n">
        <v>78544</v>
      </c>
      <c r="N52" s="16" t="n">
        <f aca="false">71682*(P52^0.183)*(Q52^-0.643)*(R52^1.92)*(S52^1.176)*(T52^0.0445)*(U52^0.45)*(V52^0.103)*(W52^0.149)</f>
        <v>163048.439339805</v>
      </c>
      <c r="O52" s="16" t="n">
        <f aca="false">73.99*(P52^0.126)*(Q52^-0.326)*(R52^0.473)*(S52^0.605)*(T52^-0.0271)*(U52^0.685)*(V52^0.00271)*(W52^0.193)</f>
        <v>43433.4978084538</v>
      </c>
      <c r="P52" s="3" t="n">
        <v>37642</v>
      </c>
      <c r="Q52" s="3" t="n">
        <v>3.02436108602093</v>
      </c>
      <c r="R52" s="3" t="n">
        <v>0.0525</v>
      </c>
      <c r="S52" s="2" t="n">
        <v>0.856708892552058</v>
      </c>
      <c r="T52" s="3" t="n">
        <v>0.961190855927698</v>
      </c>
      <c r="U52" s="16" t="n">
        <v>2785.611</v>
      </c>
      <c r="V52" s="16" t="n">
        <v>1683.087</v>
      </c>
      <c r="W52" s="16" t="n">
        <v>1748.302</v>
      </c>
    </row>
    <row r="53" customFormat="false" ht="14.65" hidden="false" customHeight="false" outlineLevel="0" collapsed="false">
      <c r="A53" s="5"/>
      <c r="B53" s="22"/>
      <c r="D53" s="22"/>
      <c r="E53" s="24"/>
      <c r="F53" s="24"/>
      <c r="G53" s="5"/>
      <c r="H53" s="22"/>
      <c r="I53" s="22"/>
      <c r="J53" s="22"/>
      <c r="K53" s="22"/>
      <c r="L53" s="16" t="e">
        <f aca="false">NA()</f>
        <v>#N/A</v>
      </c>
      <c r="M53" s="16" t="n">
        <v>0</v>
      </c>
      <c r="N53" s="16" t="e">
        <f aca="false">71682*(P53^0.183)*(Q53^-0.643)*(R53^1.92)*(S53^1.176)*(T53^0.0445)*(U53^0.45)*(V53^0.103)*(W53^0.149)</f>
        <v>#VALUE!</v>
      </c>
      <c r="O53" s="16" t="e">
        <f aca="false">73.99*(P53^0.126)*(Q53^-0.326)*(R53^0.473)*(S53^0.605)*(T53^-0.0271)*(U53^0.685)*(V53^0.00271)*(W53^0.193)</f>
        <v>#VALUE!</v>
      </c>
      <c r="Q53" s="3" t="s">
        <v>260</v>
      </c>
      <c r="R53" s="3" t="e">
        <f aca="false">NA()</f>
        <v>#N/A</v>
      </c>
      <c r="S53" s="2" t="n">
        <v>0</v>
      </c>
    </row>
    <row r="54" customFormat="false" ht="14.65" hidden="false" customHeight="false" outlineLevel="0" collapsed="false">
      <c r="A54" s="6" t="s">
        <v>61</v>
      </c>
      <c r="B54" s="22"/>
      <c r="D54" s="22"/>
      <c r="E54" s="24"/>
      <c r="F54" s="24"/>
      <c r="G54" s="6" t="s">
        <v>61</v>
      </c>
      <c r="H54" s="22"/>
      <c r="I54" s="22"/>
      <c r="J54" s="22"/>
      <c r="K54" s="22"/>
      <c r="L54" s="16" t="n">
        <v>59065592.456</v>
      </c>
      <c r="M54" s="16" t="n">
        <v>20984828</v>
      </c>
      <c r="N54" s="16" t="e">
        <f aca="false">71682*(P54^0.183)*(Q54^-0.643)*(R54^1.92)*(S54^1.176)*(T54^0.0445)*(U54^0.45)*(V54^0.103)*(W54^0.149)</f>
        <v>#VALUE!</v>
      </c>
      <c r="O54" s="16" t="e">
        <f aca="false">73.99*(P54^0.126)*(Q54^-0.326)*(R54^0.473)*(S54^0.605)*(T54^-0.0271)*(U54^0.685)*(V54^0.00271)*(W54^0.193)</f>
        <v>#VALUE!</v>
      </c>
      <c r="P54" s="3" t="n">
        <v>3904721</v>
      </c>
      <c r="Q54" s="3" t="s">
        <v>260</v>
      </c>
      <c r="R54" s="3" t="n">
        <v>0.0595</v>
      </c>
      <c r="S54" s="16" t="n">
        <v>1</v>
      </c>
      <c r="U54" s="16" t="n">
        <f aca="false">SUM(U2:U52)</f>
        <v>1669617.037</v>
      </c>
      <c r="V54" s="16" t="n">
        <f aca="false">SUM(V2:V52)</f>
        <v>374971.495</v>
      </c>
      <c r="W54" s="16" t="n">
        <f aca="false">SUM(W2:W52)</f>
        <v>249407.45</v>
      </c>
    </row>
    <row r="55" customFormat="false" ht="14.65" hidden="false" customHeight="false" outlineLevel="0" collapsed="false">
      <c r="A55" s="3" t="s">
        <v>81</v>
      </c>
      <c r="B55" s="22" t="n">
        <f aca="false">79221*($R55^1.83)*($S55^0.786)*($T55^0.00492)*0.439*($U55^-0.561)*($V55^0.225)*($W55^0.179)/1000</f>
        <v>0.00818088356231977</v>
      </c>
      <c r="C55" s="22" t="n">
        <f aca="false">79221*($R55^1.83)*($S55^0.786)*($T55^0.00492)*($U55^0.439)*0.225*($V55^-0.775)*($W55^0.179)/1000</f>
        <v>0.0186696777868495</v>
      </c>
      <c r="D55" s="22" t="n">
        <f aca="false">79221*($R55^1.83)*($S55^0.786)*($T55^0.00492)*($U55^0.439)*($V55^0.225)*0.179*($W55^-0.821)/1000</f>
        <v>0.0223303827865551</v>
      </c>
      <c r="E55" s="23" t="n">
        <f aca="false">+(C55*V55+D55*W55)/(V55+W55)</f>
        <v>0.020131942180116</v>
      </c>
      <c r="F55" s="25"/>
      <c r="G55" s="3" t="s">
        <v>81</v>
      </c>
      <c r="H55" s="22" t="n">
        <f aca="false">AVERAGE(H2:H52)</f>
        <v>0.00709757809579877</v>
      </c>
      <c r="I55" s="22" t="n">
        <f aca="false">AVERAGE(I2:I52)</f>
        <v>0.000143332548619394</v>
      </c>
      <c r="J55" s="22" t="n">
        <f aca="false">AVERAGE(J2:J52)</f>
        <v>0.0254697279432419</v>
      </c>
      <c r="K55" s="22" t="n">
        <f aca="false">AVERAGE(K2:K52)</f>
        <v>0.00622292466125271</v>
      </c>
      <c r="P55" s="16" t="n">
        <f aca="false">+AVERAGE(P2:P52)</f>
        <v>76563.1568627451</v>
      </c>
      <c r="Q55" s="3" t="n">
        <v>3.02389669986842</v>
      </c>
      <c r="R55" s="3" t="n">
        <f aca="false">AVERAGE(R2:R52)</f>
        <v>0.051421568627451</v>
      </c>
      <c r="S55" s="3" t="n">
        <f aca="false">AVERAGE(S2:S52)</f>
        <v>1</v>
      </c>
      <c r="T55" s="3" t="n">
        <f aca="false">AVERAGE(T2:T52)</f>
        <v>1.44808247594625</v>
      </c>
      <c r="U55" s="16" t="n">
        <f aca="false">SUM(U2:U52)</f>
        <v>1669617.037</v>
      </c>
      <c r="V55" s="16" t="n">
        <f aca="false">SUM(V2:V52)</f>
        <v>374971.495</v>
      </c>
      <c r="W55" s="16" t="n">
        <f aca="false">SUM(W2:W52)</f>
        <v>249407.45</v>
      </c>
    </row>
    <row r="56" customFormat="false" ht="14.65" hidden="false" customHeight="false" outlineLevel="0" collapsed="false">
      <c r="B56" s="22" t="n">
        <f aca="false">AVERAGE(B2:B52)</f>
        <v>0.0164833155066083</v>
      </c>
      <c r="C56" s="22" t="n">
        <f aca="false">AVERAGE(C2:C52)</f>
        <v>0.0402831943495749</v>
      </c>
      <c r="D56" s="22" t="n">
        <f aca="false">AVERAGE(D2:D52)</f>
        <v>0.0968014830532186</v>
      </c>
      <c r="E56" s="22" t="n">
        <f aca="false">AVERAGE(E2:E52)</f>
        <v>0.0444474434404207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:G55 G1:G55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 t="s">
        <v>68</v>
      </c>
      <c r="B1" s="3" t="s">
        <v>261</v>
      </c>
      <c r="C1" s="3" t="s">
        <v>262</v>
      </c>
      <c r="D1" s="3" t="s">
        <v>263</v>
      </c>
      <c r="E1" s="3" t="s">
        <v>264</v>
      </c>
      <c r="F1" s="3" t="s">
        <v>265</v>
      </c>
      <c r="G1" s="3" t="s">
        <v>254</v>
      </c>
    </row>
    <row r="2" customFormat="false" ht="14.65" hidden="false" customHeight="false" outlineLevel="0" collapsed="false">
      <c r="A2" s="4" t="s">
        <v>8</v>
      </c>
      <c r="B2" s="3" t="n">
        <v>92209</v>
      </c>
      <c r="C2" s="26" t="n">
        <v>0.00997733409970827</v>
      </c>
      <c r="D2" s="27" t="n">
        <v>0.210185556724398</v>
      </c>
      <c r="E2" s="27" t="n">
        <v>0.144781144781145</v>
      </c>
      <c r="F2" s="27" t="n">
        <v>0</v>
      </c>
      <c r="G2" s="3" t="n">
        <v>3.01088819203367</v>
      </c>
    </row>
    <row r="3" customFormat="false" ht="14.65" hidden="false" customHeight="false" outlineLevel="0" collapsed="false">
      <c r="A3" s="4" t="s">
        <v>9</v>
      </c>
      <c r="B3" s="3" t="n">
        <v>13849</v>
      </c>
      <c r="C3" s="26" t="n">
        <v>0.0763232002310636</v>
      </c>
      <c r="D3" s="27" t="n">
        <v>0.125785255253087</v>
      </c>
      <c r="E3" s="27" t="n">
        <v>0.185185185185185</v>
      </c>
      <c r="F3" s="27" t="n">
        <v>0</v>
      </c>
      <c r="G3" s="3" t="n">
        <v>3.08165671868817</v>
      </c>
    </row>
    <row r="4" customFormat="false" ht="14.65" hidden="false" customHeight="false" outlineLevel="0" collapsed="false">
      <c r="A4" s="4" t="s">
        <v>10</v>
      </c>
      <c r="B4" s="3" t="n">
        <v>55763</v>
      </c>
      <c r="C4" s="26" t="n">
        <v>0.0225776948872909</v>
      </c>
      <c r="D4" s="27" t="n">
        <v>0.29302584150781</v>
      </c>
      <c r="E4" s="27" t="n">
        <v>0.267326732673267</v>
      </c>
      <c r="F4" s="27" t="n">
        <v>0</v>
      </c>
      <c r="G4" s="3" t="n">
        <v>3.02788347401141</v>
      </c>
    </row>
    <row r="5" customFormat="false" ht="14.65" hidden="false" customHeight="false" outlineLevel="0" collapsed="false">
      <c r="A5" s="4" t="s">
        <v>11</v>
      </c>
      <c r="B5" s="3" t="n">
        <v>77192</v>
      </c>
      <c r="C5" s="26" t="n">
        <v>0.00825215048191523</v>
      </c>
      <c r="D5" s="27" t="n">
        <v>0.0983910249766815</v>
      </c>
      <c r="E5" s="27" t="n">
        <v>0.343511450381679</v>
      </c>
      <c r="F5" s="27" t="n">
        <v>0.00728155339805825</v>
      </c>
      <c r="G5" s="3" t="n">
        <v>3.00925140893557</v>
      </c>
    </row>
    <row r="6" customFormat="false" ht="14.65" hidden="false" customHeight="false" outlineLevel="0" collapsed="false">
      <c r="A6" s="5" t="s">
        <v>12</v>
      </c>
      <c r="B6" s="3" t="n">
        <v>169201</v>
      </c>
      <c r="C6" s="26" t="n">
        <v>0.0225530581970556</v>
      </c>
      <c r="D6" s="27" t="n">
        <v>0.479081092901342</v>
      </c>
      <c r="E6" s="27" t="n">
        <v>0.880974695407685</v>
      </c>
      <c r="F6" s="27" t="n">
        <v>0.210914454277286</v>
      </c>
      <c r="G6" s="3" t="n">
        <v>3.05854284372906</v>
      </c>
    </row>
    <row r="7" customFormat="false" ht="14.65" hidden="false" customHeight="false" outlineLevel="0" collapsed="false">
      <c r="A7" s="4" t="s">
        <v>13</v>
      </c>
      <c r="B7" s="3" t="n">
        <v>78721</v>
      </c>
      <c r="C7" s="26" t="n">
        <v>0.0148626160744909</v>
      </c>
      <c r="D7" s="27" t="n">
        <v>0.163907978811245</v>
      </c>
      <c r="E7" s="27" t="n">
        <v>0.333333333333333</v>
      </c>
      <c r="F7" s="27" t="n">
        <v>0.02734375</v>
      </c>
      <c r="G7" s="3" t="n">
        <v>3.01831807997023</v>
      </c>
    </row>
    <row r="8" customFormat="false" ht="14.65" hidden="false" customHeight="false" outlineLevel="0" collapsed="false">
      <c r="A8" s="4" t="s">
        <v>14</v>
      </c>
      <c r="B8" s="3" t="n">
        <v>20357</v>
      </c>
      <c r="C8" s="26" t="n">
        <v>0.0265265019403645</v>
      </c>
      <c r="D8" s="27" t="n">
        <v>0.567028540551162</v>
      </c>
      <c r="E8" s="27" t="n">
        <v>0.694214876033058</v>
      </c>
      <c r="F8" s="27" t="n">
        <v>0.217821782178218</v>
      </c>
      <c r="G8" s="3" t="n">
        <v>3.06535734272844</v>
      </c>
    </row>
    <row r="9" customFormat="false" ht="14.65" hidden="false" customHeight="false" outlineLevel="0" collapsed="false">
      <c r="A9" s="4" t="s">
        <v>15</v>
      </c>
      <c r="B9" s="3" t="n">
        <v>5544</v>
      </c>
      <c r="C9" s="26" t="n">
        <v>0.00901875901875902</v>
      </c>
      <c r="D9" s="27" t="n">
        <v>0.337121212121212</v>
      </c>
      <c r="E9" s="27" t="n">
        <v>0.731707317073171</v>
      </c>
      <c r="F9" s="27" t="s">
        <v>20</v>
      </c>
      <c r="G9" s="3" t="e">
        <f aca="false">#REF!</f>
        <v>#VALUE!</v>
      </c>
    </row>
    <row r="10" customFormat="false" ht="14.65" hidden="false" customHeight="false" outlineLevel="0" collapsed="false">
      <c r="A10" s="5" t="s">
        <v>16</v>
      </c>
      <c r="B10" s="3" t="n">
        <v>1107</v>
      </c>
      <c r="C10" s="26" t="n">
        <v>0.029810298102981</v>
      </c>
      <c r="D10" s="27" t="n">
        <v>1</v>
      </c>
      <c r="E10" s="27" t="n">
        <v>0.714285714285714</v>
      </c>
      <c r="F10" s="27" t="s">
        <v>20</v>
      </c>
      <c r="G10" s="3" t="e">
        <f aca="false">#REF!</f>
        <v>#VALUE!</v>
      </c>
    </row>
    <row r="11" customFormat="false" ht="14.65" hidden="false" customHeight="false" outlineLevel="0" collapsed="false">
      <c r="A11" s="4" t="s">
        <v>17</v>
      </c>
      <c r="B11" s="3" t="n">
        <v>112808</v>
      </c>
      <c r="C11" s="26" t="n">
        <v>0.0153091979292249</v>
      </c>
      <c r="D11" s="27" t="n">
        <v>0.435944259272392</v>
      </c>
      <c r="E11" s="27" t="n">
        <v>0.483490566037736</v>
      </c>
      <c r="F11" s="27" t="n">
        <v>0.098135426889107</v>
      </c>
      <c r="G11" s="3" t="n">
        <v>3.0275318527805</v>
      </c>
    </row>
    <row r="12" customFormat="false" ht="14.65" hidden="false" customHeight="false" outlineLevel="0" collapsed="false">
      <c r="A12" s="4" t="s">
        <v>18</v>
      </c>
      <c r="B12" s="3" t="n">
        <v>110879</v>
      </c>
      <c r="C12" s="26" t="n">
        <v>0.0127165649040846</v>
      </c>
      <c r="D12" s="27" t="n">
        <v>0.236961011553135</v>
      </c>
      <c r="E12" s="27" t="n">
        <v>0.624423963133641</v>
      </c>
      <c r="F12" s="27" t="n">
        <v>0.142150803461063</v>
      </c>
      <c r="G12" s="3" t="n">
        <v>3.02249931932024</v>
      </c>
    </row>
    <row r="13" customFormat="false" ht="14.65" hidden="false" customHeight="false" outlineLevel="0" collapsed="false">
      <c r="A13" s="4" t="s">
        <v>19</v>
      </c>
      <c r="B13" s="3" t="n">
        <v>4106</v>
      </c>
      <c r="C13" s="26" t="n">
        <v>0.0236239649293717</v>
      </c>
      <c r="D13" s="27" t="n">
        <v>0.438139308329274</v>
      </c>
      <c r="E13" s="27" t="n">
        <v>0.863636363636364</v>
      </c>
      <c r="F13" s="27" t="s">
        <v>20</v>
      </c>
      <c r="G13" s="3" t="e">
        <f aca="false">#REF!</f>
        <v>#VALUE!</v>
      </c>
    </row>
    <row r="14" customFormat="false" ht="14.65" hidden="false" customHeight="false" outlineLevel="0" collapsed="false">
      <c r="A14" s="5" t="s">
        <v>21</v>
      </c>
      <c r="B14" s="3" t="n">
        <v>58835</v>
      </c>
      <c r="C14" s="26" t="n">
        <v>0.0103849749298887</v>
      </c>
      <c r="D14" s="27" t="n">
        <v>0.0580606781677573</v>
      </c>
      <c r="E14" s="27" t="n">
        <v>0.0253164556962025</v>
      </c>
      <c r="F14" s="27" t="n">
        <v>0</v>
      </c>
      <c r="G14" s="3" t="n">
        <v>3.01043076926056</v>
      </c>
    </row>
    <row r="15" customFormat="false" ht="14.65" hidden="false" customHeight="false" outlineLevel="0" collapsed="false">
      <c r="A15" s="4" t="s">
        <v>22</v>
      </c>
      <c r="B15" s="3" t="n">
        <v>136965</v>
      </c>
      <c r="C15" s="26" t="n">
        <v>0.0155587193808637</v>
      </c>
      <c r="D15" s="27" t="n">
        <v>0.256861241923119</v>
      </c>
      <c r="E15" s="27" t="n">
        <v>0.493650793650794</v>
      </c>
      <c r="F15" s="27" t="n">
        <v>0.0197044334975369</v>
      </c>
      <c r="G15" s="3" t="n">
        <v>3.02216072981059</v>
      </c>
    </row>
    <row r="16" customFormat="false" ht="14.65" hidden="false" customHeight="false" outlineLevel="0" collapsed="false">
      <c r="A16" s="4" t="s">
        <v>23</v>
      </c>
      <c r="B16" s="3" t="n">
        <v>92374</v>
      </c>
      <c r="C16" s="26" t="n">
        <v>0.0137809340290558</v>
      </c>
      <c r="D16" s="27" t="n">
        <v>0.208521878450646</v>
      </c>
      <c r="E16" s="27" t="n">
        <v>0.405750798722045</v>
      </c>
      <c r="F16" s="27" t="n">
        <v>0.0448484848484848</v>
      </c>
      <c r="G16" s="3" t="n">
        <v>3.01874639115114</v>
      </c>
    </row>
    <row r="17" customFormat="false" ht="14.65" hidden="false" customHeight="false" outlineLevel="0" collapsed="false">
      <c r="A17" s="4" t="s">
        <v>24</v>
      </c>
      <c r="B17" s="3" t="n">
        <v>112708</v>
      </c>
      <c r="C17" s="26" t="n">
        <v>0.00694715548142102</v>
      </c>
      <c r="D17" s="27" t="n">
        <v>0.0817865635092451</v>
      </c>
      <c r="E17" s="27" t="n">
        <v>0.306122448979592</v>
      </c>
      <c r="F17" s="27" t="n">
        <v>0.0471698113207547</v>
      </c>
      <c r="G17" s="3" t="n">
        <v>3.00837164173669</v>
      </c>
    </row>
    <row r="18" customFormat="false" ht="14.65" hidden="false" customHeight="false" outlineLevel="0" collapsed="false">
      <c r="A18" s="5" t="s">
        <v>25</v>
      </c>
      <c r="B18" s="3" t="n">
        <v>133256</v>
      </c>
      <c r="C18" s="26" t="n">
        <v>0.00749684817193973</v>
      </c>
      <c r="D18" s="27" t="n">
        <v>0.0718916971843669</v>
      </c>
      <c r="E18" s="27" t="n">
        <v>0.421965317919075</v>
      </c>
      <c r="F18" s="27" t="n">
        <v>0</v>
      </c>
      <c r="G18" s="3" t="n">
        <v>3.00817911689654</v>
      </c>
    </row>
    <row r="19" customFormat="false" ht="14.65" hidden="false" customHeight="false" outlineLevel="0" collapsed="false">
      <c r="A19" s="4" t="s">
        <v>26</v>
      </c>
      <c r="B19" s="3" t="n">
        <v>72632</v>
      </c>
      <c r="C19" s="26" t="n">
        <v>0.0117579028527371</v>
      </c>
      <c r="D19" s="27" t="n">
        <v>0.139594118294966</v>
      </c>
      <c r="E19" s="27" t="n">
        <v>0.384615384615385</v>
      </c>
      <c r="F19" s="27" t="n">
        <v>0.05</v>
      </c>
      <c r="G19" s="3" t="n">
        <v>3.01516923518577</v>
      </c>
    </row>
    <row r="20" customFormat="false" ht="14.65" hidden="false" customHeight="false" outlineLevel="0" collapsed="false">
      <c r="A20" s="4" t="s">
        <v>27</v>
      </c>
      <c r="B20" s="3" t="n">
        <v>59599</v>
      </c>
      <c r="C20" s="26" t="n">
        <v>0.0153693853923724</v>
      </c>
      <c r="D20" s="27" t="n">
        <v>0.230977029815937</v>
      </c>
      <c r="E20" s="27" t="n">
        <v>0.330798479087452</v>
      </c>
      <c r="F20" s="27" t="n">
        <v>0.0115131578947368</v>
      </c>
      <c r="G20" s="3" t="n">
        <v>3.01930060058751</v>
      </c>
    </row>
    <row r="21" customFormat="false" ht="14.65" hidden="false" customHeight="false" outlineLevel="0" collapsed="false">
      <c r="A21" s="4" t="s">
        <v>28</v>
      </c>
      <c r="B21" s="3" t="n">
        <v>22510</v>
      </c>
      <c r="C21" s="26" t="n">
        <v>0.017014660151044</v>
      </c>
      <c r="D21" s="27" t="n">
        <v>0.114749000444247</v>
      </c>
      <c r="E21" s="27" t="n">
        <v>0.0185185185185185</v>
      </c>
      <c r="F21" s="27" t="n">
        <v>0.0416666666666667</v>
      </c>
      <c r="G21" s="3" t="n">
        <v>3.01900590827789</v>
      </c>
    </row>
    <row r="22" customFormat="false" ht="14.65" hidden="false" customHeight="false" outlineLevel="0" collapsed="false">
      <c r="A22" s="5" t="s">
        <v>29</v>
      </c>
      <c r="B22" s="3" t="n">
        <v>29313</v>
      </c>
      <c r="C22" s="26" t="n">
        <v>0.0240848770170232</v>
      </c>
      <c r="D22" s="27" t="n">
        <v>0.466380104390543</v>
      </c>
      <c r="E22" s="27" t="n">
        <v>0.733333333333333</v>
      </c>
      <c r="F22" s="27" t="n">
        <v>0.541850220264317</v>
      </c>
      <c r="G22" s="3" t="n">
        <v>3.06968868614359</v>
      </c>
    </row>
    <row r="23" customFormat="false" ht="14.65" hidden="false" customHeight="false" outlineLevel="0" collapsed="false">
      <c r="A23" s="4" t="s">
        <v>30</v>
      </c>
      <c r="B23" s="3" t="n">
        <v>30563</v>
      </c>
      <c r="C23" s="26" t="n">
        <v>0.0249975460524163</v>
      </c>
      <c r="D23" s="27" t="n">
        <v>0.642476196708438</v>
      </c>
      <c r="E23" s="27" t="n">
        <v>0.801488833746898</v>
      </c>
      <c r="F23" s="27" t="n">
        <v>0.364197530864198</v>
      </c>
      <c r="G23" s="3" t="n">
        <v>3.07337880538279</v>
      </c>
    </row>
    <row r="24" customFormat="false" ht="14.65" hidden="false" customHeight="false" outlineLevel="0" collapsed="false">
      <c r="A24" s="4" t="s">
        <v>31</v>
      </c>
      <c r="B24" s="3" t="n">
        <v>117659</v>
      </c>
      <c r="C24" s="26" t="n">
        <v>0.0124172396501755</v>
      </c>
      <c r="D24" s="27" t="n">
        <v>0.239454695348422</v>
      </c>
      <c r="E24" s="27" t="n">
        <v>0.603206412825651</v>
      </c>
      <c r="F24" s="27" t="n">
        <v>0.124156545209177</v>
      </c>
      <c r="G24" s="3" t="n">
        <v>3.02131545662924</v>
      </c>
    </row>
    <row r="25" customFormat="false" ht="14.65" hidden="false" customHeight="false" outlineLevel="0" collapsed="false">
      <c r="A25" s="4" t="s">
        <v>32</v>
      </c>
      <c r="B25" s="3" t="n">
        <v>129959</v>
      </c>
      <c r="C25" s="26" t="n">
        <v>0.00803330281088651</v>
      </c>
      <c r="D25" s="27" t="n">
        <v>0.114543817665571</v>
      </c>
      <c r="E25" s="27" t="n">
        <v>0.454935622317597</v>
      </c>
      <c r="F25" s="27" t="n">
        <v>0.0293685756240822</v>
      </c>
      <c r="G25" s="3" t="n">
        <v>3.00991585871892</v>
      </c>
    </row>
    <row r="26" customFormat="false" ht="14.65" hidden="false" customHeight="false" outlineLevel="0" collapsed="false">
      <c r="A26" s="5" t="s">
        <v>33</v>
      </c>
      <c r="B26" s="3" t="n">
        <v>72834</v>
      </c>
      <c r="C26" s="26" t="n">
        <v>0.00995414229618036</v>
      </c>
      <c r="D26" s="27" t="n">
        <v>0.10852074580553</v>
      </c>
      <c r="E26" s="27" t="n">
        <v>0</v>
      </c>
      <c r="F26" s="27" t="n">
        <v>0</v>
      </c>
      <c r="G26" s="3" t="n">
        <v>3.00995414229618</v>
      </c>
    </row>
    <row r="27" customFormat="false" ht="14.65" hidden="false" customHeight="false" outlineLevel="0" collapsed="false">
      <c r="A27" s="4" t="s">
        <v>34</v>
      </c>
      <c r="B27" s="3" t="n">
        <v>121787</v>
      </c>
      <c r="C27" s="26" t="n">
        <v>0.0119388768916223</v>
      </c>
      <c r="D27" s="27" t="n">
        <v>0.132608570701306</v>
      </c>
      <c r="E27" s="27" t="n">
        <v>0.573770491803279</v>
      </c>
      <c r="F27" s="27" t="n">
        <v>0.0061576354679803</v>
      </c>
      <c r="G27" s="3" t="n">
        <v>3.01485535224272</v>
      </c>
    </row>
    <row r="28" customFormat="false" ht="14.65" hidden="false" customHeight="false" outlineLevel="0" collapsed="false">
      <c r="A28" s="4" t="s">
        <v>35</v>
      </c>
      <c r="B28" s="3" t="n">
        <v>69768</v>
      </c>
      <c r="C28" s="26" t="n">
        <v>0.017056530214425</v>
      </c>
      <c r="D28" s="27" t="n">
        <v>0.0341130604288499</v>
      </c>
      <c r="E28" s="27" t="n">
        <v>0</v>
      </c>
      <c r="F28" s="27" t="n">
        <v>0</v>
      </c>
      <c r="G28" s="3" t="n">
        <v>3.01705653021443</v>
      </c>
    </row>
    <row r="29" customFormat="false" ht="14.65" hidden="false" customHeight="false" outlineLevel="0" collapsed="false">
      <c r="A29" s="4" t="s">
        <v>36</v>
      </c>
      <c r="B29" s="3" t="n">
        <v>92702</v>
      </c>
      <c r="C29" s="26" t="n">
        <v>0.00530732886021877</v>
      </c>
      <c r="D29" s="27" t="n">
        <v>0.0545187806088326</v>
      </c>
      <c r="E29" s="27" t="n">
        <v>0.25</v>
      </c>
      <c r="F29" s="27" t="n">
        <v>0</v>
      </c>
      <c r="G29" s="3" t="n">
        <v>3.00552434068353</v>
      </c>
    </row>
    <row r="30" customFormat="false" ht="14.65" hidden="false" customHeight="false" outlineLevel="0" collapsed="false">
      <c r="A30" s="5" t="s">
        <v>37</v>
      </c>
      <c r="B30" s="3" t="n">
        <v>45778</v>
      </c>
      <c r="C30" s="26" t="n">
        <v>0.0126043077460789</v>
      </c>
      <c r="D30" s="27" t="n">
        <v>0.100419415439731</v>
      </c>
      <c r="E30" s="27" t="n">
        <v>0.307692307692308</v>
      </c>
      <c r="F30" s="27" t="n">
        <v>0</v>
      </c>
      <c r="G30" s="3" t="n">
        <v>3.0137726620992</v>
      </c>
    </row>
    <row r="31" customFormat="false" ht="14.65" hidden="false" customHeight="false" outlineLevel="0" collapsed="false">
      <c r="A31" s="4" t="s">
        <v>38</v>
      </c>
      <c r="B31" s="3" t="n">
        <v>14938</v>
      </c>
      <c r="C31" s="26" t="n">
        <v>0.0176730486008837</v>
      </c>
      <c r="D31" s="27" t="n">
        <v>0.192060516802785</v>
      </c>
      <c r="E31" s="27" t="n">
        <v>0.270833333333333</v>
      </c>
      <c r="F31" s="27" t="n">
        <v>0.119318181818182</v>
      </c>
      <c r="G31" s="3" t="n">
        <v>3.02554205797405</v>
      </c>
    </row>
    <row r="32" customFormat="false" ht="14.65" hidden="false" customHeight="false" outlineLevel="0" collapsed="false">
      <c r="A32" s="4" t="s">
        <v>39</v>
      </c>
      <c r="B32" s="3" t="n">
        <v>35097</v>
      </c>
      <c r="C32" s="26" t="n">
        <v>0.0204860814314614</v>
      </c>
      <c r="D32" s="27" t="n">
        <v>0.684645411288714</v>
      </c>
      <c r="E32" s="27" t="n">
        <v>0.82</v>
      </c>
      <c r="F32" s="27" t="n">
        <v>0.495575221238938</v>
      </c>
      <c r="G32" s="3" t="n">
        <v>3.06459411990633</v>
      </c>
    </row>
    <row r="33" customFormat="false" ht="14.65" hidden="false" customHeight="false" outlineLevel="0" collapsed="false">
      <c r="A33" s="4" t="s">
        <v>40</v>
      </c>
      <c r="B33" s="3" t="n">
        <v>60812</v>
      </c>
      <c r="C33" s="26" t="n">
        <v>0.0164605669933566</v>
      </c>
      <c r="D33" s="27" t="n">
        <v>0.0962145629152141</v>
      </c>
      <c r="E33" s="27" t="n">
        <v>0.285714285714286</v>
      </c>
      <c r="F33" s="27" t="n">
        <v>0.0110253583241455</v>
      </c>
      <c r="G33" s="3" t="n">
        <v>3.01831013062442</v>
      </c>
    </row>
    <row r="34" customFormat="false" ht="14.65" hidden="false" customHeight="false" outlineLevel="0" collapsed="false">
      <c r="A34" s="5" t="s">
        <v>41</v>
      </c>
      <c r="B34" s="3" t="n">
        <v>111882</v>
      </c>
      <c r="C34" s="26" t="n">
        <v>0.0210668382760408</v>
      </c>
      <c r="D34" s="27" t="n">
        <v>0.351200371820311</v>
      </c>
      <c r="E34" s="27" t="n">
        <v>0.547652916073969</v>
      </c>
      <c r="F34" s="27" t="n">
        <v>0.0652446675031368</v>
      </c>
      <c r="G34" s="3" t="n">
        <v>3.03589788971131</v>
      </c>
    </row>
    <row r="35" customFormat="false" ht="14.65" hidden="false" customHeight="false" outlineLevel="0" collapsed="false">
      <c r="A35" s="4" t="s">
        <v>42</v>
      </c>
      <c r="B35" s="3" t="n">
        <v>96028</v>
      </c>
      <c r="C35" s="26" t="n">
        <v>0.0128087641104678</v>
      </c>
      <c r="D35" s="27" t="n">
        <v>0.226215270546091</v>
      </c>
      <c r="E35" s="27" t="n">
        <v>0.258160237388724</v>
      </c>
      <c r="F35" s="27" t="n">
        <v>0.028436018957346</v>
      </c>
      <c r="G35" s="3" t="n">
        <v>3.01589835887155</v>
      </c>
    </row>
    <row r="36" customFormat="false" ht="14.65" hidden="false" customHeight="false" outlineLevel="0" collapsed="false">
      <c r="A36" s="4" t="s">
        <v>43</v>
      </c>
      <c r="B36" s="3" t="n">
        <v>86727</v>
      </c>
      <c r="C36" s="26" t="n">
        <v>0.00658387814636734</v>
      </c>
      <c r="D36" s="27" t="n">
        <v>0.0209623300702203</v>
      </c>
      <c r="E36" s="27" t="n">
        <v>0.075</v>
      </c>
      <c r="F36" s="27" t="n">
        <v>0</v>
      </c>
      <c r="G36" s="3" t="n">
        <v>3.00661493116741</v>
      </c>
    </row>
    <row r="37" customFormat="false" ht="14.65" hidden="false" customHeight="false" outlineLevel="0" collapsed="false">
      <c r="A37" s="4" t="s">
        <v>44</v>
      </c>
      <c r="B37" s="3" t="n">
        <v>113823</v>
      </c>
      <c r="C37" s="26" t="n">
        <v>0.017167004911134</v>
      </c>
      <c r="D37" s="27" t="n">
        <v>0.277342892034123</v>
      </c>
      <c r="E37" s="27" t="n">
        <v>0.292011019283747</v>
      </c>
      <c r="F37" s="27" t="n">
        <v>0.0177095631641086</v>
      </c>
      <c r="G37" s="3" t="n">
        <v>3.02199703387615</v>
      </c>
    </row>
    <row r="38" customFormat="false" ht="14.65" hidden="false" customHeight="false" outlineLevel="0" collapsed="false">
      <c r="A38" s="5" t="s">
        <v>45</v>
      </c>
      <c r="B38" s="3" t="n">
        <v>112467</v>
      </c>
      <c r="C38" s="26" t="n">
        <v>0.00946944437034864</v>
      </c>
      <c r="D38" s="27" t="n">
        <v>0.113757813403043</v>
      </c>
      <c r="E38" s="27" t="n">
        <v>0.336448598130841</v>
      </c>
      <c r="F38" s="27" t="n">
        <v>0</v>
      </c>
      <c r="G38" s="3" t="n">
        <v>3.0105567351634</v>
      </c>
    </row>
    <row r="39" customFormat="false" ht="14.65" hidden="false" customHeight="false" outlineLevel="0" collapsed="false">
      <c r="A39" s="4" t="s">
        <v>46</v>
      </c>
      <c r="B39" s="3" t="n">
        <v>96036</v>
      </c>
      <c r="C39" s="26" t="n">
        <v>0.00812195426714982</v>
      </c>
      <c r="D39" s="27" t="n">
        <v>0.10441917614228</v>
      </c>
      <c r="E39" s="27" t="n">
        <v>0.397260273972603</v>
      </c>
      <c r="F39" s="27" t="n">
        <v>0.036144578313253</v>
      </c>
      <c r="G39" s="3" t="n">
        <v>3.00992142152199</v>
      </c>
    </row>
    <row r="40" customFormat="false" ht="14.65" hidden="false" customHeight="false" outlineLevel="0" collapsed="false">
      <c r="A40" s="4" t="s">
        <v>47</v>
      </c>
      <c r="B40" s="3" t="n">
        <v>117038</v>
      </c>
      <c r="C40" s="26" t="n">
        <v>0.0177121960388934</v>
      </c>
      <c r="D40" s="27" t="n">
        <v>0.278678719732053</v>
      </c>
      <c r="E40" s="27" t="n">
        <v>0.218074656188605</v>
      </c>
      <c r="F40" s="27" t="n">
        <v>0.0166821130676552</v>
      </c>
      <c r="G40" s="3" t="n">
        <v>3.02158085470849</v>
      </c>
    </row>
    <row r="41" customFormat="false" ht="14.65" hidden="false" customHeight="false" outlineLevel="0" collapsed="false">
      <c r="A41" s="4" t="s">
        <v>48</v>
      </c>
      <c r="B41" s="3" t="n">
        <v>6057</v>
      </c>
      <c r="C41" s="26" t="n">
        <v>0.0227835562159485</v>
      </c>
      <c r="D41" s="27" t="n">
        <v>0.779758956579165</v>
      </c>
      <c r="E41" s="27" t="n">
        <v>0.673469387755102</v>
      </c>
      <c r="F41" s="27" t="n">
        <v>0</v>
      </c>
      <c r="G41" s="3" t="n">
        <v>3.0586774851994</v>
      </c>
    </row>
    <row r="42" customFormat="false" ht="14.65" hidden="false" customHeight="false" outlineLevel="0" collapsed="false">
      <c r="A42" s="5" t="s">
        <v>49</v>
      </c>
      <c r="B42" s="3" t="n">
        <v>64158</v>
      </c>
      <c r="C42" s="26" t="n">
        <v>0.0137161382836123</v>
      </c>
      <c r="D42" s="27" t="n">
        <v>0.163985785093052</v>
      </c>
      <c r="E42" s="27" t="n">
        <v>0.359154929577465</v>
      </c>
      <c r="F42" s="27" t="n">
        <v>0.0239520958083832</v>
      </c>
      <c r="G42" s="3" t="n">
        <v>3.01696359569449</v>
      </c>
    </row>
    <row r="43" customFormat="false" ht="14.65" hidden="false" customHeight="false" outlineLevel="0" collapsed="false">
      <c r="A43" s="4" t="s">
        <v>50</v>
      </c>
      <c r="B43" s="3" t="n">
        <v>83305</v>
      </c>
      <c r="C43" s="26" t="n">
        <v>0.0081747794250045</v>
      </c>
      <c r="D43" s="27" t="n">
        <v>0.0223275913810696</v>
      </c>
      <c r="E43" s="27" t="n">
        <v>0</v>
      </c>
      <c r="F43" s="27" t="n">
        <v>0</v>
      </c>
      <c r="G43" s="3" t="n">
        <v>3.008174779425</v>
      </c>
    </row>
    <row r="44" customFormat="false" ht="14.65" hidden="false" customHeight="false" outlineLevel="0" collapsed="false">
      <c r="A44" s="4" t="s">
        <v>51</v>
      </c>
      <c r="B44" s="3" t="n">
        <v>85037</v>
      </c>
      <c r="C44" s="26" t="n">
        <v>0.013829274315886</v>
      </c>
      <c r="D44" s="27" t="n">
        <v>0.194280136881593</v>
      </c>
      <c r="E44" s="27" t="n">
        <v>0.437888198757764</v>
      </c>
      <c r="F44" s="27" t="n">
        <v>0.0337837837837838</v>
      </c>
      <c r="G44" s="3" t="n">
        <v>3.018488076576</v>
      </c>
    </row>
    <row r="45" customFormat="false" ht="14.65" hidden="false" customHeight="false" outlineLevel="0" collapsed="false">
      <c r="A45" s="4" t="s">
        <v>52</v>
      </c>
      <c r="B45" s="3" t="n">
        <v>294142</v>
      </c>
      <c r="C45" s="26" t="n">
        <v>0.015115148465707</v>
      </c>
      <c r="D45" s="27" t="n">
        <v>0.269026524603763</v>
      </c>
      <c r="E45" s="27" t="n">
        <v>0.53831231813773</v>
      </c>
      <c r="F45" s="27" t="n">
        <v>0.0204266908760781</v>
      </c>
      <c r="G45" s="3" t="n">
        <v>3.02235915870122</v>
      </c>
    </row>
    <row r="46" customFormat="false" ht="14.65" hidden="false" customHeight="false" outlineLevel="0" collapsed="false">
      <c r="A46" s="5" t="s">
        <v>53</v>
      </c>
      <c r="B46" s="3" t="n">
        <v>40508</v>
      </c>
      <c r="C46" s="26" t="n">
        <v>0.0233534116717685</v>
      </c>
      <c r="D46" s="27" t="n">
        <v>0.150735657154142</v>
      </c>
      <c r="E46" s="27" t="n">
        <v>0.660714285714286</v>
      </c>
      <c r="F46" s="27" t="n">
        <v>0.0221066319895969</v>
      </c>
      <c r="G46" s="3" t="n">
        <v>3.03164627188816</v>
      </c>
    </row>
    <row r="47" customFormat="false" ht="14.65" hidden="false" customHeight="false" outlineLevel="0" collapsed="false">
      <c r="A47" s="4" t="s">
        <v>54</v>
      </c>
      <c r="B47" s="3" t="n">
        <v>14166</v>
      </c>
      <c r="C47" s="26" t="n">
        <v>0.024001129464916</v>
      </c>
      <c r="D47" s="27" t="n">
        <v>0.0934632217986729</v>
      </c>
      <c r="E47" s="27" t="n">
        <v>0</v>
      </c>
      <c r="F47" s="27" t="n">
        <v>0</v>
      </c>
      <c r="G47" s="3" t="n">
        <v>3.02400112946492</v>
      </c>
    </row>
    <row r="48" customFormat="false" ht="14.65" hidden="false" customHeight="false" outlineLevel="0" collapsed="false">
      <c r="A48" s="4" t="s">
        <v>55</v>
      </c>
      <c r="B48" s="3" t="n">
        <v>68429</v>
      </c>
      <c r="C48" s="26" t="n">
        <v>0.0189977933332359</v>
      </c>
      <c r="D48" s="27" t="n">
        <v>0.227695859942422</v>
      </c>
      <c r="E48" s="27" t="n">
        <v>0.433962264150943</v>
      </c>
      <c r="F48" s="27" t="n">
        <v>0.149746192893401</v>
      </c>
      <c r="G48" s="3" t="n">
        <v>3.03122065149318</v>
      </c>
    </row>
    <row r="49" customFormat="false" ht="14.65" hidden="false" customHeight="false" outlineLevel="0" collapsed="false">
      <c r="A49" s="4" t="s">
        <v>56</v>
      </c>
      <c r="B49" s="3" t="n">
        <v>79428</v>
      </c>
      <c r="C49" s="26" t="n">
        <v>0.0134083698443874</v>
      </c>
      <c r="D49" s="27" t="n">
        <v>0.216774940826912</v>
      </c>
      <c r="E49" s="27" t="n">
        <v>0.603053435114504</v>
      </c>
      <c r="F49" s="27" t="n">
        <v>0.191616766467066</v>
      </c>
      <c r="G49" s="3" t="n">
        <v>3.02470381897398</v>
      </c>
    </row>
    <row r="50" customFormat="false" ht="14.65" hidden="false" customHeight="false" outlineLevel="0" collapsed="false">
      <c r="A50" s="5" t="s">
        <v>57</v>
      </c>
      <c r="B50" s="3" t="n">
        <v>35045</v>
      </c>
      <c r="C50" s="26" t="n">
        <v>0.0159509202453988</v>
      </c>
      <c r="D50" s="27" t="n">
        <v>0.0895134826651448</v>
      </c>
      <c r="E50" s="27" t="n">
        <v>0.0957446808510638</v>
      </c>
      <c r="F50" s="27" t="n">
        <v>0.0504385964912281</v>
      </c>
      <c r="G50" s="3" t="n">
        <v>3.01855861346459</v>
      </c>
    </row>
    <row r="51" customFormat="false" ht="14.65" hidden="false" customHeight="false" outlineLevel="0" collapsed="false">
      <c r="A51" s="4" t="s">
        <v>58</v>
      </c>
      <c r="B51" s="3" t="n">
        <v>110978</v>
      </c>
      <c r="C51" s="26" t="n">
        <v>0.00735280866478041</v>
      </c>
      <c r="D51" s="27" t="n">
        <v>0.14048730378994</v>
      </c>
      <c r="E51" s="27" t="n">
        <v>0.391608391608392</v>
      </c>
      <c r="F51" s="27" t="n">
        <v>0.101010101010101</v>
      </c>
      <c r="G51" s="3" t="n">
        <v>3.01048147591276</v>
      </c>
    </row>
    <row r="52" customFormat="false" ht="14.65" hidden="false" customHeight="false" outlineLevel="0" collapsed="false">
      <c r="A52" s="4" t="s">
        <v>59</v>
      </c>
      <c r="B52" s="3" t="n">
        <v>37642</v>
      </c>
      <c r="C52" s="26" t="n">
        <v>0.0243610860209341</v>
      </c>
      <c r="D52" s="27" t="n">
        <v>0.0633866425800967</v>
      </c>
      <c r="E52" s="27" t="n">
        <v>0</v>
      </c>
      <c r="F52" s="27" t="n">
        <v>0</v>
      </c>
      <c r="G52" s="3" t="n">
        <v>3.02436108602093</v>
      </c>
    </row>
    <row r="53" customFormat="false" ht="14.65" hidden="false" customHeight="false" outlineLevel="0" collapsed="false">
      <c r="A53" s="5"/>
      <c r="C53" s="26"/>
      <c r="D53" s="27"/>
      <c r="E53" s="27"/>
      <c r="F53" s="27"/>
      <c r="G53" s="3" t="e">
        <f aca="false">#REF!</f>
        <v>#DIV/0!</v>
      </c>
    </row>
    <row r="54" customFormat="false" ht="14.65" hidden="false" customHeight="false" outlineLevel="0" collapsed="false">
      <c r="A54" s="6" t="s">
        <v>61</v>
      </c>
      <c r="B54" s="3" t="n">
        <v>3904721</v>
      </c>
      <c r="C54" s="26"/>
      <c r="D54" s="27"/>
      <c r="E54" s="27"/>
      <c r="F54" s="27"/>
      <c r="G54" s="3" t="n">
        <v>3</v>
      </c>
    </row>
    <row r="55" customFormat="false" ht="14.65" hidden="false" customHeight="false" outlineLevel="0" collapsed="false">
      <c r="A55" s="3" t="s">
        <v>81</v>
      </c>
      <c r="B55" s="16" t="n">
        <f aca="false">+AVERAGE(B2:B52)</f>
        <v>76563.1568627451</v>
      </c>
      <c r="C55" s="26" t="n">
        <f aca="false">+AVERAGE(C2:C52)</f>
        <v>0.0165656914867126</v>
      </c>
      <c r="D55" s="27" t="n">
        <f aca="false">+AVERAGE(D2:D52)</f>
        <v>0.239176114606668</v>
      </c>
      <c r="E55" s="27" t="n">
        <f aca="false">+AVERAGE(E2:E52)</f>
        <v>0.393590191227911</v>
      </c>
      <c r="F55" s="27" t="n">
        <f aca="false">+AVERAGE(F2:F52)</f>
        <v>0.0701561956993348</v>
      </c>
      <c r="G55" s="3" t="n">
        <v>3.02389669986842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:D55 B2:D55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"/>
      <c r="B1" s="16" t="s">
        <v>266</v>
      </c>
      <c r="C1" s="16" t="s">
        <v>267</v>
      </c>
      <c r="D1" s="16" t="s">
        <v>268</v>
      </c>
      <c r="E1" s="16" t="s">
        <v>269</v>
      </c>
      <c r="F1" s="16" t="s">
        <v>270</v>
      </c>
    </row>
    <row r="2" customFormat="false" ht="14.65" hidden="false" customHeight="false" outlineLevel="0" collapsed="false">
      <c r="A2" s="4" t="s">
        <v>8</v>
      </c>
      <c r="B2" s="16" t="n">
        <v>29460.873</v>
      </c>
      <c r="C2" s="16" t="n">
        <v>7136.844</v>
      </c>
      <c r="D2" s="16" t="n">
        <v>9164.283</v>
      </c>
      <c r="E2" s="27" t="n">
        <v>0.501704470958437</v>
      </c>
      <c r="F2" s="27" t="n">
        <v>0.196145273370919</v>
      </c>
    </row>
    <row r="3" customFormat="false" ht="14.65" hidden="false" customHeight="false" outlineLevel="0" collapsed="false">
      <c r="A3" s="4" t="s">
        <v>9</v>
      </c>
      <c r="B3" s="16" t="n">
        <v>2723.331</v>
      </c>
      <c r="C3" s="16" t="n">
        <v>1056.697</v>
      </c>
      <c r="D3" s="16" t="n">
        <v>60.9720000000001</v>
      </c>
      <c r="E3" s="27" t="n">
        <v>0.478000520697735</v>
      </c>
      <c r="F3" s="27" t="n">
        <v>0.293413173652695</v>
      </c>
    </row>
    <row r="4" customFormat="false" ht="14.65" hidden="false" customHeight="false" outlineLevel="0" collapsed="false">
      <c r="A4" s="4" t="s">
        <v>10</v>
      </c>
      <c r="B4" s="16" t="n">
        <v>20434.709</v>
      </c>
      <c r="C4" s="16" t="n">
        <v>10642.868</v>
      </c>
      <c r="D4" s="16" t="n">
        <v>3969.423</v>
      </c>
      <c r="E4" s="27" t="n">
        <v>0.606585442405912</v>
      </c>
      <c r="F4" s="27" t="n">
        <v>0.269837646588866</v>
      </c>
    </row>
    <row r="5" customFormat="false" ht="14.65" hidden="false" customHeight="false" outlineLevel="0" collapsed="false">
      <c r="A5" s="4" t="s">
        <v>11</v>
      </c>
      <c r="B5" s="16" t="n">
        <v>14028.824</v>
      </c>
      <c r="C5" s="16" t="n">
        <v>3205.316</v>
      </c>
      <c r="D5" s="16" t="n">
        <v>5846.86</v>
      </c>
      <c r="E5" s="27" t="n">
        <v>0.348035180451454</v>
      </c>
      <c r="F5" s="27" t="n">
        <v>0.243273688315064</v>
      </c>
    </row>
    <row r="6" customFormat="false" ht="14.65" hidden="false" customHeight="false" outlineLevel="0" collapsed="false">
      <c r="A6" s="5" t="s">
        <v>12</v>
      </c>
      <c r="B6" s="16" t="n">
        <v>217495.083</v>
      </c>
      <c r="C6" s="16" t="n">
        <v>32116.494</v>
      </c>
      <c r="D6" s="16" t="n">
        <v>12936.423</v>
      </c>
      <c r="E6" s="27" t="n">
        <v>0.801190639425934</v>
      </c>
      <c r="F6" s="27" t="n">
        <v>0.416000121882475</v>
      </c>
    </row>
    <row r="7" customFormat="false" ht="14.65" hidden="false" customHeight="false" outlineLevel="0" collapsed="false">
      <c r="A7" s="4" t="s">
        <v>13</v>
      </c>
      <c r="B7" s="16" t="n">
        <v>26874.1</v>
      </c>
      <c r="C7" s="16" t="n">
        <v>1377.548</v>
      </c>
      <c r="D7" s="16" t="n">
        <v>2556.352</v>
      </c>
      <c r="E7" s="27" t="n">
        <v>0.591859257335757</v>
      </c>
      <c r="F7" s="27" t="n">
        <v>0.320046741106206</v>
      </c>
    </row>
    <row r="8" customFormat="false" ht="14.65" hidden="false" customHeight="false" outlineLevel="0" collapsed="false">
      <c r="A8" s="4" t="s">
        <v>14</v>
      </c>
      <c r="B8" s="16" t="n">
        <v>21789.372</v>
      </c>
      <c r="C8" s="16" t="n">
        <v>3241.828</v>
      </c>
      <c r="D8" s="16" t="n">
        <v>1427.8</v>
      </c>
      <c r="E8" s="27" t="n">
        <v>0.770664046260252</v>
      </c>
      <c r="F8" s="27" t="n">
        <v>0.405835443516384</v>
      </c>
    </row>
    <row r="9" customFormat="false" ht="14.65" hidden="false" customHeight="false" outlineLevel="0" collapsed="false">
      <c r="A9" s="4" t="s">
        <v>15</v>
      </c>
      <c r="B9" s="16" t="n">
        <v>5356.445</v>
      </c>
      <c r="C9" s="16" t="n">
        <v>1060.164</v>
      </c>
      <c r="D9" s="16" t="n">
        <v>475.391</v>
      </c>
      <c r="E9" s="27" t="n">
        <v>0.610417875798027</v>
      </c>
      <c r="F9" s="27" t="n">
        <v>0.149013348810215</v>
      </c>
    </row>
    <row r="10" customFormat="false" ht="14.65" hidden="false" customHeight="false" outlineLevel="0" collapsed="false">
      <c r="A10" s="5" t="s">
        <v>16</v>
      </c>
      <c r="B10" s="16" t="n">
        <v>3458.702</v>
      </c>
      <c r="C10" s="16" t="n">
        <v>92.612</v>
      </c>
      <c r="D10" s="16" t="n">
        <v>10.6860000000002</v>
      </c>
      <c r="E10" s="27" t="n">
        <v>1</v>
      </c>
      <c r="F10" s="27" t="n">
        <v>0.241998877035373</v>
      </c>
    </row>
    <row r="11" customFormat="false" ht="14.65" hidden="false" customHeight="false" outlineLevel="0" collapsed="false">
      <c r="A11" s="4" t="s">
        <v>17</v>
      </c>
      <c r="B11" s="16" t="n">
        <v>96026.289</v>
      </c>
      <c r="C11" s="16" t="n">
        <v>14094.558</v>
      </c>
      <c r="D11" s="16" t="n">
        <v>9747.153</v>
      </c>
      <c r="E11" s="27" t="n">
        <v>0.708003804184603</v>
      </c>
      <c r="F11" s="27" t="n">
        <v>0.221376847865986</v>
      </c>
    </row>
    <row r="12" customFormat="false" ht="14.65" hidden="false" customHeight="false" outlineLevel="0" collapsed="false">
      <c r="A12" s="4" t="s">
        <v>18</v>
      </c>
      <c r="B12" s="16" t="n">
        <v>50160.336</v>
      </c>
      <c r="C12" s="16" t="n">
        <v>17596.464</v>
      </c>
      <c r="D12" s="16" t="n">
        <v>10147.2</v>
      </c>
      <c r="E12" s="27" t="n">
        <v>0.587030191004313</v>
      </c>
      <c r="F12" s="27" t="n">
        <v>0.281808379544054</v>
      </c>
    </row>
    <row r="13" customFormat="false" ht="14.65" hidden="false" customHeight="false" outlineLevel="0" collapsed="false">
      <c r="A13" s="4" t="s">
        <v>19</v>
      </c>
      <c r="B13" s="16" t="n">
        <v>6840.974</v>
      </c>
      <c r="C13" s="16" t="n">
        <v>1189.518</v>
      </c>
      <c r="D13" s="16" t="n">
        <v>35.5080000000001</v>
      </c>
      <c r="E13" s="27" t="n">
        <v>0.733696999752046</v>
      </c>
      <c r="F13" s="27" t="n">
        <v>0.289734688817258</v>
      </c>
    </row>
    <row r="14" customFormat="false" ht="14.65" hidden="false" customHeight="false" outlineLevel="0" collapsed="false">
      <c r="A14" s="5" t="s">
        <v>21</v>
      </c>
      <c r="B14" s="16" t="n">
        <v>5614.716</v>
      </c>
      <c r="C14" s="16" t="n">
        <v>3383.546</v>
      </c>
      <c r="D14" s="16" t="n">
        <v>1765.738</v>
      </c>
      <c r="E14" s="27" t="n">
        <v>0.330453363062059</v>
      </c>
      <c r="F14" s="27" t="n">
        <v>0.223708658491267</v>
      </c>
    </row>
    <row r="15" customFormat="false" ht="14.65" hidden="false" customHeight="false" outlineLevel="0" collapsed="false">
      <c r="A15" s="4" t="s">
        <v>22</v>
      </c>
      <c r="B15" s="16" t="n">
        <v>64662.366</v>
      </c>
      <c r="C15" s="16" t="n">
        <v>12465.324</v>
      </c>
      <c r="D15" s="16" t="n">
        <v>10514.31</v>
      </c>
      <c r="E15" s="27" t="n">
        <v>0.677620319025125</v>
      </c>
      <c r="F15" s="27" t="n">
        <v>0.272951324707332</v>
      </c>
    </row>
    <row r="16" customFormat="false" ht="14.65" hidden="false" customHeight="false" outlineLevel="0" collapsed="false">
      <c r="A16" s="4" t="s">
        <v>23</v>
      </c>
      <c r="B16" s="16" t="n">
        <v>36429.524</v>
      </c>
      <c r="C16" s="16" t="n">
        <v>9441.836</v>
      </c>
      <c r="D16" s="16" t="n">
        <v>11200.64</v>
      </c>
      <c r="E16" s="27" t="n">
        <v>0.487454443509952</v>
      </c>
      <c r="F16" s="27" t="n">
        <v>0.227029015979815</v>
      </c>
    </row>
    <row r="17" customFormat="false" ht="14.65" hidden="false" customHeight="false" outlineLevel="0" collapsed="false">
      <c r="A17" s="4" t="s">
        <v>271</v>
      </c>
      <c r="B17" s="16" t="n">
        <v>15135.456</v>
      </c>
      <c r="C17" s="16" t="n">
        <v>3147.91</v>
      </c>
      <c r="D17" s="16" t="n">
        <v>5642.634</v>
      </c>
      <c r="E17" s="27" t="n">
        <v>0.357853381258882</v>
      </c>
      <c r="F17" s="27" t="n">
        <v>0.20730585973418</v>
      </c>
    </row>
    <row r="18" customFormat="false" ht="14.65" hidden="false" customHeight="false" outlineLevel="0" collapsed="false">
      <c r="A18" s="5" t="s">
        <v>25</v>
      </c>
      <c r="B18" s="16" t="n">
        <v>15884.563</v>
      </c>
      <c r="C18" s="16" t="n">
        <v>5194.815</v>
      </c>
      <c r="D18" s="16" t="n">
        <v>3083.622</v>
      </c>
      <c r="E18" s="27" t="n">
        <v>0.466539750858751</v>
      </c>
      <c r="F18" s="27" t="n">
        <v>0.236353101849936</v>
      </c>
    </row>
    <row r="19" customFormat="false" ht="14.65" hidden="false" customHeight="false" outlineLevel="0" collapsed="false">
      <c r="A19" s="4" t="s">
        <v>26</v>
      </c>
      <c r="B19" s="16" t="n">
        <v>23122.463</v>
      </c>
      <c r="C19" s="16" t="n">
        <v>9346.853</v>
      </c>
      <c r="D19" s="16" t="n">
        <v>5592.684</v>
      </c>
      <c r="E19" s="27" t="n">
        <v>0.437943355577742</v>
      </c>
      <c r="F19" s="27" t="n">
        <v>0.254321895854133</v>
      </c>
    </row>
    <row r="20" customFormat="false" ht="14.65" hidden="false" customHeight="false" outlineLevel="0" collapsed="false">
      <c r="A20" s="4" t="s">
        <v>27</v>
      </c>
      <c r="B20" s="16" t="n">
        <v>20439.614</v>
      </c>
      <c r="C20" s="16" t="n">
        <v>8821.947</v>
      </c>
      <c r="D20" s="16" t="n">
        <v>4593.439</v>
      </c>
      <c r="E20" s="27" t="n">
        <v>0.496174863387978</v>
      </c>
      <c r="F20" s="27" t="n">
        <v>0.252015950376606</v>
      </c>
    </row>
    <row r="21" customFormat="false" ht="14.65" hidden="false" customHeight="false" outlineLevel="0" collapsed="false">
      <c r="A21" s="4" t="s">
        <v>28</v>
      </c>
      <c r="B21" s="16" t="n">
        <v>7983.189</v>
      </c>
      <c r="C21" s="16" t="n">
        <v>3040.744</v>
      </c>
      <c r="D21" s="16" t="n">
        <v>1127.067</v>
      </c>
      <c r="E21" s="27" t="n">
        <v>0.262282939675747</v>
      </c>
      <c r="F21" s="27" t="n">
        <v>0.189284832524072</v>
      </c>
    </row>
    <row r="22" customFormat="false" ht="14.65" hidden="false" customHeight="false" outlineLevel="0" collapsed="false">
      <c r="A22" s="5" t="s">
        <v>29</v>
      </c>
      <c r="B22" s="16" t="n">
        <v>27153.256</v>
      </c>
      <c r="C22" s="16" t="n">
        <v>11948.434</v>
      </c>
      <c r="D22" s="16" t="n">
        <v>2794.31</v>
      </c>
      <c r="E22" s="27" t="n">
        <v>0.694433836165744</v>
      </c>
      <c r="F22" s="27" t="n">
        <v>0.367696200114569</v>
      </c>
    </row>
    <row r="23" customFormat="false" ht="14.65" hidden="false" customHeight="false" outlineLevel="0" collapsed="false">
      <c r="A23" s="4" t="s">
        <v>30</v>
      </c>
      <c r="B23" s="16" t="n">
        <v>39503.346</v>
      </c>
      <c r="C23" s="16" t="n">
        <v>5603.875</v>
      </c>
      <c r="D23" s="16" t="n">
        <v>2240.779</v>
      </c>
      <c r="E23" s="27" t="n">
        <v>0.814332178761511</v>
      </c>
      <c r="F23" s="27" t="n">
        <v>0.367470642899383</v>
      </c>
    </row>
    <row r="24" customFormat="false" ht="14.65" hidden="false" customHeight="false" outlineLevel="0" collapsed="false">
      <c r="A24" s="4" t="s">
        <v>31</v>
      </c>
      <c r="B24" s="16" t="n">
        <v>61071.043</v>
      </c>
      <c r="C24" s="16" t="n">
        <v>16141.599</v>
      </c>
      <c r="D24" s="16" t="n">
        <v>7006.358</v>
      </c>
      <c r="E24" s="27" t="n">
        <v>0.629133568434676</v>
      </c>
      <c r="F24" s="27" t="n">
        <v>0.263360999299446</v>
      </c>
    </row>
    <row r="25" customFormat="false" ht="14.65" hidden="false" customHeight="false" outlineLevel="0" collapsed="false">
      <c r="A25" s="4" t="s">
        <v>272</v>
      </c>
      <c r="B25" s="16" t="n">
        <v>32867.632</v>
      </c>
      <c r="C25" s="16" t="n">
        <v>5185.19</v>
      </c>
      <c r="D25" s="16" t="n">
        <v>3109.178</v>
      </c>
      <c r="E25" s="27" t="n">
        <v>0.514843787959769</v>
      </c>
      <c r="F25" s="27" t="n">
        <v>0.260847383509062</v>
      </c>
    </row>
    <row r="26" customFormat="false" ht="14.65" hidden="false" customHeight="false" outlineLevel="0" collapsed="false">
      <c r="A26" s="5" t="s">
        <v>33</v>
      </c>
      <c r="B26" s="16" t="n">
        <v>17132.877</v>
      </c>
      <c r="C26" s="16" t="n">
        <v>4434.646</v>
      </c>
      <c r="D26" s="16" t="n">
        <v>4671.477</v>
      </c>
      <c r="E26" s="27" t="n">
        <v>0.332253515758985</v>
      </c>
      <c r="F26" s="27" t="n">
        <v>0.17222455124052</v>
      </c>
    </row>
    <row r="27" customFormat="false" ht="14.65" hidden="false" customHeight="false" outlineLevel="0" collapsed="false">
      <c r="A27" s="4" t="s">
        <v>34</v>
      </c>
      <c r="B27" s="16" t="n">
        <v>38589.988</v>
      </c>
      <c r="C27" s="16" t="n">
        <v>7125.916</v>
      </c>
      <c r="D27" s="16" t="n">
        <v>7538.096</v>
      </c>
      <c r="E27" s="27" t="n">
        <v>0.531152589476847</v>
      </c>
      <c r="F27" s="27" t="n">
        <v>0.306587298606677</v>
      </c>
    </row>
    <row r="28" customFormat="false" ht="14.65" hidden="false" customHeight="false" outlineLevel="0" collapsed="false">
      <c r="A28" s="4" t="s">
        <v>35</v>
      </c>
      <c r="B28" s="16" t="n">
        <v>4818.087</v>
      </c>
      <c r="C28" s="16" t="n">
        <v>2517.899</v>
      </c>
      <c r="D28" s="16" t="n">
        <v>1189.014</v>
      </c>
      <c r="E28" s="27" t="n">
        <v>0.237302052785924</v>
      </c>
      <c r="F28" s="27" t="n">
        <v>0.247741935483871</v>
      </c>
    </row>
    <row r="29" customFormat="false" ht="14.65" hidden="false" customHeight="false" outlineLevel="0" collapsed="false">
      <c r="A29" s="4" t="s">
        <v>36</v>
      </c>
      <c r="B29" s="16" t="n">
        <v>8401.648</v>
      </c>
      <c r="C29" s="16" t="n">
        <v>3558.115</v>
      </c>
      <c r="D29" s="16" t="n">
        <v>2661.237</v>
      </c>
      <c r="E29" s="27" t="n">
        <v>0.387182819232611</v>
      </c>
      <c r="F29" s="27" t="n">
        <v>0.192941659257233</v>
      </c>
    </row>
    <row r="30" customFormat="false" ht="14.65" hidden="false" customHeight="false" outlineLevel="0" collapsed="false">
      <c r="A30" s="5" t="s">
        <v>273</v>
      </c>
      <c r="B30" s="16" t="n">
        <v>54714.985</v>
      </c>
      <c r="C30" s="16" t="n">
        <v>1487.673</v>
      </c>
      <c r="D30" s="16" t="n">
        <v>1539.324</v>
      </c>
      <c r="E30" s="27" t="n">
        <v>0.588969441130586</v>
      </c>
      <c r="F30" s="27" t="n">
        <v>0.298063687253373</v>
      </c>
    </row>
    <row r="31" customFormat="false" ht="14.65" hidden="false" customHeight="false" outlineLevel="0" collapsed="false">
      <c r="A31" s="4" t="s">
        <v>38</v>
      </c>
      <c r="B31" s="16" t="n">
        <v>7306.891</v>
      </c>
      <c r="C31" s="16" t="n">
        <v>2387.63</v>
      </c>
      <c r="D31" s="16" t="n">
        <v>372.479</v>
      </c>
      <c r="E31" s="27" t="n">
        <v>0.368729512267806</v>
      </c>
      <c r="F31" s="27" t="n">
        <v>0.247342803218436</v>
      </c>
    </row>
    <row r="32" customFormat="false" ht="14.65" hidden="false" customHeight="false" outlineLevel="0" collapsed="false">
      <c r="A32" s="4" t="s">
        <v>39</v>
      </c>
      <c r="B32" s="16" t="n">
        <v>43975.89</v>
      </c>
      <c r="C32" s="16" t="n">
        <v>10349.67</v>
      </c>
      <c r="D32" s="16" t="n">
        <v>5084.44</v>
      </c>
      <c r="E32" s="27" t="n">
        <v>0.800538629860293</v>
      </c>
      <c r="F32" s="27" t="n">
        <v>0.268776300286147</v>
      </c>
    </row>
    <row r="33" customFormat="false" ht="14.65" hidden="false" customHeight="false" outlineLevel="0" collapsed="false">
      <c r="A33" s="4" t="s">
        <v>40</v>
      </c>
      <c r="B33" s="16" t="n">
        <v>11898.768</v>
      </c>
      <c r="C33" s="16" t="n">
        <v>2782.332</v>
      </c>
      <c r="D33" s="16" t="n">
        <v>3770.9</v>
      </c>
      <c r="E33" s="27" t="n">
        <v>0.368740515933232</v>
      </c>
      <c r="F33" s="27" t="n">
        <v>0.263548666811186</v>
      </c>
    </row>
    <row r="34" customFormat="false" ht="14.65" hidden="false" customHeight="false" outlineLevel="0" collapsed="false">
      <c r="A34" s="5" t="s">
        <v>41</v>
      </c>
      <c r="B34" s="16" t="n">
        <v>82650.876</v>
      </c>
      <c r="C34" s="16" t="n">
        <v>18626.454</v>
      </c>
      <c r="D34" s="16" t="n">
        <v>8603.67</v>
      </c>
      <c r="E34" s="27" t="n">
        <v>0.723864908400906</v>
      </c>
      <c r="F34" s="27" t="n">
        <v>0.311091089451316</v>
      </c>
    </row>
    <row r="35" customFormat="false" ht="14.65" hidden="false" customHeight="false" outlineLevel="0" collapsed="false">
      <c r="A35" s="4" t="s">
        <v>42</v>
      </c>
      <c r="B35" s="16" t="n">
        <v>49100.234</v>
      </c>
      <c r="C35" s="16" t="n">
        <v>7226.782</v>
      </c>
      <c r="D35" s="16" t="n">
        <v>11210.984</v>
      </c>
      <c r="E35" s="27" t="n">
        <v>0.500044419437946</v>
      </c>
      <c r="F35" s="27" t="n">
        <v>0.218410376380704</v>
      </c>
    </row>
    <row r="36" customFormat="false" ht="14.65" hidden="false" customHeight="false" outlineLevel="0" collapsed="false">
      <c r="A36" s="4" t="s">
        <v>43</v>
      </c>
      <c r="B36" s="16" t="n">
        <v>4059.537</v>
      </c>
      <c r="C36" s="16" t="n">
        <v>1257.567</v>
      </c>
      <c r="D36" s="16" t="n">
        <v>754.896</v>
      </c>
      <c r="E36" s="27" t="n">
        <v>0.259387351778656</v>
      </c>
      <c r="F36" s="27" t="n">
        <v>0.197628458498024</v>
      </c>
    </row>
    <row r="37" customFormat="false" ht="14.65" hidden="false" customHeight="false" outlineLevel="0" collapsed="false">
      <c r="A37" s="4" t="s">
        <v>44</v>
      </c>
      <c r="B37" s="16" t="n">
        <v>71212.512</v>
      </c>
      <c r="C37" s="16" t="n">
        <v>11766.678</v>
      </c>
      <c r="D37" s="16" t="n">
        <v>12241.81</v>
      </c>
      <c r="E37" s="27" t="n">
        <v>0.606924943027273</v>
      </c>
      <c r="F37" s="27" t="n">
        <v>0.292088929962928</v>
      </c>
    </row>
    <row r="38" customFormat="false" ht="14.65" hidden="false" customHeight="false" outlineLevel="0" collapsed="false">
      <c r="A38" s="5" t="s">
        <v>274</v>
      </c>
      <c r="B38" s="16" t="n">
        <v>23173.108</v>
      </c>
      <c r="C38" s="16" t="n">
        <v>7652.82</v>
      </c>
      <c r="D38" s="16" t="n">
        <v>4293.072</v>
      </c>
      <c r="E38" s="27" t="n">
        <v>0.505481363364561</v>
      </c>
      <c r="F38" s="27" t="n">
        <v>0.253452547054301</v>
      </c>
    </row>
    <row r="39" customFormat="false" ht="14.65" hidden="false" customHeight="false" outlineLevel="0" collapsed="false">
      <c r="A39" s="4" t="s">
        <v>46</v>
      </c>
      <c r="B39" s="16" t="n">
        <v>16551.498</v>
      </c>
      <c r="C39" s="16" t="n">
        <v>8163.83</v>
      </c>
      <c r="D39" s="16" t="n">
        <v>3210.672</v>
      </c>
      <c r="E39" s="27" t="n">
        <v>0.44367256320275</v>
      </c>
      <c r="F39" s="27" t="n">
        <v>0.277483348850534</v>
      </c>
    </row>
    <row r="40" customFormat="false" ht="14.65" hidden="false" customHeight="false" outlineLevel="0" collapsed="false">
      <c r="A40" s="4" t="s">
        <v>47</v>
      </c>
      <c r="B40" s="16" t="n">
        <v>60862.183</v>
      </c>
      <c r="C40" s="16" t="n">
        <v>14562.447</v>
      </c>
      <c r="D40" s="16" t="n">
        <v>13775.37</v>
      </c>
      <c r="E40" s="27" t="n">
        <v>0.581289237668161</v>
      </c>
      <c r="F40" s="27" t="n">
        <v>0.234035874439462</v>
      </c>
    </row>
    <row r="41" customFormat="false" ht="14.65" hidden="false" customHeight="false" outlineLevel="0" collapsed="false">
      <c r="A41" s="4" t="s">
        <v>48</v>
      </c>
      <c r="B41" s="16" t="n">
        <v>5982.062</v>
      </c>
      <c r="C41" s="16" t="n">
        <v>1091.001</v>
      </c>
      <c r="D41" s="16" t="n">
        <v>485.937</v>
      </c>
      <c r="E41" s="27" t="n">
        <v>0.850641619261807</v>
      </c>
      <c r="F41" s="27" t="n">
        <v>0.302420955152798</v>
      </c>
    </row>
    <row r="42" customFormat="false" ht="14.65" hidden="false" customHeight="false" outlineLevel="0" collapsed="false">
      <c r="A42" s="5" t="s">
        <v>49</v>
      </c>
      <c r="B42" s="16" t="n">
        <v>25580.754</v>
      </c>
      <c r="C42" s="16" t="n">
        <v>3924.234</v>
      </c>
      <c r="D42" s="16" t="n">
        <v>5544.012</v>
      </c>
      <c r="E42" s="27" t="n">
        <v>0.397614767896374</v>
      </c>
      <c r="F42" s="27" t="n">
        <v>0.255670632543011</v>
      </c>
    </row>
    <row r="43" customFormat="false" ht="14.65" hidden="false" customHeight="false" outlineLevel="0" collapsed="false">
      <c r="A43" s="4" t="s">
        <v>50</v>
      </c>
      <c r="B43" s="16" t="n">
        <v>5380.502</v>
      </c>
      <c r="C43" s="16" t="n">
        <v>1191.452</v>
      </c>
      <c r="D43" s="16" t="n">
        <v>646.046</v>
      </c>
      <c r="E43" s="27" t="n">
        <v>0.213355500138543</v>
      </c>
      <c r="F43" s="27" t="n">
        <v>0.221668052091992</v>
      </c>
    </row>
    <row r="44" customFormat="false" ht="14.65" hidden="false" customHeight="false" outlineLevel="0" collapsed="false">
      <c r="A44" s="4" t="s">
        <v>51</v>
      </c>
      <c r="B44" s="16" t="n">
        <v>33838.357</v>
      </c>
      <c r="C44" s="16" t="n">
        <v>8757.104</v>
      </c>
      <c r="D44" s="16" t="n">
        <v>7398.539</v>
      </c>
      <c r="E44" s="27" t="n">
        <v>0.547925751090131</v>
      </c>
      <c r="F44" s="27" t="n">
        <v>0.278973476817218</v>
      </c>
    </row>
    <row r="45" customFormat="false" ht="14.65" hidden="false" customHeight="false" outlineLevel="0" collapsed="false">
      <c r="A45" s="4" t="s">
        <v>52</v>
      </c>
      <c r="B45" s="16" t="n">
        <v>112296.492</v>
      </c>
      <c r="C45" s="16" t="n">
        <v>32682.15</v>
      </c>
      <c r="D45" s="16" t="n">
        <v>18350.358</v>
      </c>
      <c r="E45" s="27" t="n">
        <v>0.649982550557464</v>
      </c>
      <c r="F45" s="27" t="n">
        <v>0.317420666262574</v>
      </c>
    </row>
    <row r="46" customFormat="false" ht="14.65" hidden="false" customHeight="false" outlineLevel="0" collapsed="false">
      <c r="A46" s="5" t="s">
        <v>53</v>
      </c>
      <c r="B46" s="16" t="n">
        <v>11229.492</v>
      </c>
      <c r="C46" s="16" t="n">
        <v>3429.027</v>
      </c>
      <c r="D46" s="16" t="n">
        <v>1648.481</v>
      </c>
      <c r="E46" s="27" t="n">
        <v>0.635616606365365</v>
      </c>
      <c r="F46" s="27" t="n">
        <v>0.350769608143742</v>
      </c>
    </row>
    <row r="47" customFormat="false" ht="14.65" hidden="false" customHeight="false" outlineLevel="0" collapsed="false">
      <c r="A47" s="4" t="s">
        <v>54</v>
      </c>
      <c r="B47" s="16" t="n">
        <v>4814.403</v>
      </c>
      <c r="C47" s="16" t="n">
        <v>911.26</v>
      </c>
      <c r="D47" s="16" t="n">
        <v>293.337</v>
      </c>
      <c r="E47" s="27" t="n">
        <v>0.283103505565709</v>
      </c>
      <c r="F47" s="27" t="n">
        <v>0.223625186908124</v>
      </c>
    </row>
    <row r="48" customFormat="false" ht="14.65" hidden="false" customHeight="false" outlineLevel="0" collapsed="false">
      <c r="A48" s="4" t="s">
        <v>55</v>
      </c>
      <c r="B48" s="16" t="n">
        <v>46783.497</v>
      </c>
      <c r="C48" s="16" t="n">
        <v>10532.202</v>
      </c>
      <c r="D48" s="16" t="n">
        <v>6131.301</v>
      </c>
      <c r="E48" s="27" t="n">
        <v>0.530789477831891</v>
      </c>
      <c r="F48" s="27" t="n">
        <v>0.282881775340048</v>
      </c>
    </row>
    <row r="49" customFormat="false" ht="14.65" hidden="false" customHeight="false" outlineLevel="0" collapsed="false">
      <c r="A49" s="4" t="s">
        <v>56</v>
      </c>
      <c r="B49" s="16" t="n">
        <v>33718.908</v>
      </c>
      <c r="C49" s="16" t="n">
        <v>12475.896</v>
      </c>
      <c r="D49" s="16" t="n">
        <v>3191.196</v>
      </c>
      <c r="E49" s="27" t="n">
        <v>0.662009476369821</v>
      </c>
      <c r="F49" s="27" t="n">
        <v>0.318997286680436</v>
      </c>
    </row>
    <row r="50" customFormat="false" ht="14.65" hidden="false" customHeight="false" outlineLevel="0" collapsed="false">
      <c r="A50" s="5" t="s">
        <v>57</v>
      </c>
      <c r="B50" s="16" t="n">
        <v>11681.166</v>
      </c>
      <c r="C50" s="16" t="n">
        <v>2223.228</v>
      </c>
      <c r="D50" s="16" t="n">
        <v>2573.606</v>
      </c>
      <c r="E50" s="27" t="n">
        <v>0.281951693166646</v>
      </c>
      <c r="F50" s="27" t="n">
        <v>0.276853987134361</v>
      </c>
    </row>
    <row r="51" customFormat="false" ht="14.65" hidden="false" customHeight="false" outlineLevel="0" collapsed="false">
      <c r="A51" s="4" t="s">
        <v>58</v>
      </c>
      <c r="B51" s="16" t="n">
        <v>36560.505</v>
      </c>
      <c r="C51" s="16" t="n">
        <v>5637.411</v>
      </c>
      <c r="D51" s="16" t="n">
        <v>5430.084</v>
      </c>
      <c r="E51" s="27" t="n">
        <v>0.474741748551272</v>
      </c>
      <c r="F51" s="27" t="n">
        <v>0.198202737885278</v>
      </c>
    </row>
    <row r="52" customFormat="false" ht="14.65" hidden="false" customHeight="false" outlineLevel="0" collapsed="false">
      <c r="A52" s="4" t="s">
        <v>59</v>
      </c>
      <c r="B52" s="16" t="n">
        <v>2785.611</v>
      </c>
      <c r="C52" s="16" t="n">
        <v>1683.087</v>
      </c>
      <c r="D52" s="16" t="n">
        <v>1748.302</v>
      </c>
      <c r="E52" s="27" t="n">
        <v>0.259449895447965</v>
      </c>
      <c r="F52" s="27" t="n">
        <v>0.324111307704681</v>
      </c>
    </row>
    <row r="53" customFormat="false" ht="14.65" hidden="false" customHeight="false" outlineLevel="0" collapsed="false">
      <c r="A53" s="5"/>
    </row>
    <row r="54" customFormat="false" ht="14.65" hidden="false" customHeight="false" outlineLevel="0" collapsed="false">
      <c r="A54" s="6" t="s">
        <v>61</v>
      </c>
      <c r="B54" s="16" t="n">
        <f aca="false">SUM(B2:B52)</f>
        <v>1669617.037</v>
      </c>
      <c r="C54" s="16" t="n">
        <f aca="false">SUM(C2:C52)</f>
        <v>374971.495</v>
      </c>
      <c r="D54" s="16" t="n">
        <f aca="false">SUM(D2:D52)</f>
        <v>249407.45</v>
      </c>
    </row>
    <row r="55" customFormat="false" ht="14.65" hidden="false" customHeight="false" outlineLevel="0" collapsed="false">
      <c r="A55" s="3" t="s">
        <v>81</v>
      </c>
      <c r="B55" s="16" t="n">
        <f aca="false">AVERAGE(B2:B52)</f>
        <v>32737.5889607843</v>
      </c>
      <c r="C55" s="16" t="n">
        <f aca="false">AVERAGE(C2:C52)</f>
        <v>7352.38225490196</v>
      </c>
      <c r="D55" s="16" t="n">
        <f aca="false">AVERAGE(D2:D52)</f>
        <v>4890.34215686275</v>
      </c>
      <c r="E55" s="27" t="n">
        <f aca="false">AVERAGE(E2:E52)</f>
        <v>0.52801903277494</v>
      </c>
      <c r="F55" s="27" t="n">
        <f aca="false">AVERAGE(F2:F52)</f>
        <v>0.266349868535378</v>
      </c>
    </row>
    <row r="56" customFormat="false" ht="14.65" hidden="false" customHeight="false" outlineLevel="0" collapsed="false">
      <c r="B56" s="16"/>
      <c r="C56" s="16"/>
      <c r="D56" s="16"/>
      <c r="E56" s="27"/>
      <c r="F56" s="27"/>
    </row>
    <row r="57" customFormat="false" ht="14.65" hidden="false" customHeight="false" outlineLevel="0" collapsed="false">
      <c r="A57" s="3" t="s">
        <v>275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:G59 A4:G59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9" t="s">
        <v>108</v>
      </c>
      <c r="B1" s="3" t="s">
        <v>276</v>
      </c>
    </row>
    <row r="2" customFormat="false" ht="14.65" hidden="false" customHeight="false" outlineLevel="0" collapsed="false">
      <c r="A2" s="1"/>
      <c r="B2" s="3" t="s">
        <v>277</v>
      </c>
      <c r="E2" s="3" t="s">
        <v>235</v>
      </c>
    </row>
    <row r="3" customFormat="false" ht="14.65" hidden="false" customHeight="false" outlineLevel="0" collapsed="false">
      <c r="A3" s="17"/>
      <c r="B3" s="3" t="s">
        <v>236</v>
      </c>
      <c r="C3" s="3" t="s">
        <v>278</v>
      </c>
      <c r="D3" s="3" t="s">
        <v>279</v>
      </c>
      <c r="E3" s="3" t="s">
        <v>236</v>
      </c>
      <c r="F3" s="3" t="s">
        <v>278</v>
      </c>
      <c r="G3" s="3" t="s">
        <v>279</v>
      </c>
    </row>
    <row r="4" customFormat="false" ht="14.65" hidden="false" customHeight="false" outlineLevel="0" collapsed="false">
      <c r="A4" s="1"/>
      <c r="B4" s="3" t="s">
        <v>200</v>
      </c>
      <c r="C4" s="3" t="s">
        <v>201</v>
      </c>
      <c r="D4" s="3" t="s">
        <v>202</v>
      </c>
      <c r="E4" s="3" t="s">
        <v>203</v>
      </c>
      <c r="F4" s="3" t="s">
        <v>204</v>
      </c>
      <c r="G4" s="3" t="s">
        <v>205</v>
      </c>
    </row>
    <row r="5" customFormat="false" ht="14.65" hidden="false" customHeight="false" outlineLevel="0" collapsed="false">
      <c r="A5" s="4" t="s">
        <v>8</v>
      </c>
      <c r="B5" s="28" t="n">
        <v>56</v>
      </c>
      <c r="C5" s="28" t="n">
        <v>16.9</v>
      </c>
      <c r="D5" s="28" t="n">
        <v>27.1</v>
      </c>
      <c r="E5" s="28" t="n">
        <v>72.7</v>
      </c>
      <c r="F5" s="28" t="n">
        <v>14.3</v>
      </c>
      <c r="G5" s="28" t="n">
        <v>13</v>
      </c>
    </row>
    <row r="6" customFormat="false" ht="14.65" hidden="false" customHeight="false" outlineLevel="0" collapsed="false">
      <c r="A6" s="4" t="s">
        <v>9</v>
      </c>
      <c r="B6" s="28" t="n">
        <v>57.9</v>
      </c>
      <c r="C6" s="28" t="n">
        <v>39.7</v>
      </c>
      <c r="D6" s="28" t="n">
        <v>2.4</v>
      </c>
      <c r="E6" s="28" t="n">
        <v>85.1</v>
      </c>
      <c r="F6" s="28" t="n">
        <v>14.2</v>
      </c>
      <c r="G6" s="28" t="n">
        <v>0.700000000000006</v>
      </c>
    </row>
    <row r="7" customFormat="false" ht="14.65" hidden="false" customHeight="false" outlineLevel="0" collapsed="false">
      <c r="A7" s="4" t="s">
        <v>10</v>
      </c>
      <c r="B7" s="28" t="n">
        <v>57.7</v>
      </c>
      <c r="C7" s="28" t="n">
        <v>26</v>
      </c>
      <c r="D7" s="28" t="n">
        <v>16.3</v>
      </c>
      <c r="E7" s="28" t="n">
        <v>58.7</v>
      </c>
      <c r="F7" s="28" t="n">
        <v>33.2</v>
      </c>
      <c r="G7" s="28" t="n">
        <v>8.09999999999999</v>
      </c>
    </row>
    <row r="8" customFormat="false" ht="14.65" hidden="false" customHeight="false" outlineLevel="0" collapsed="false">
      <c r="A8" s="4" t="s">
        <v>11</v>
      </c>
      <c r="B8" s="28" t="n">
        <v>56.5</v>
      </c>
      <c r="C8" s="28" t="n">
        <v>13.4</v>
      </c>
      <c r="D8" s="28" t="n">
        <v>30.1</v>
      </c>
      <c r="E8" s="28" t="n">
        <v>68.8</v>
      </c>
      <c r="F8" s="28" t="n">
        <v>14.8</v>
      </c>
      <c r="G8" s="28" t="n">
        <v>16.4</v>
      </c>
    </row>
    <row r="9" customFormat="false" ht="14.65" hidden="false" customHeight="false" outlineLevel="0" collapsed="false">
      <c r="A9" s="5" t="s">
        <v>12</v>
      </c>
      <c r="B9" s="28" t="n">
        <v>69.3</v>
      </c>
      <c r="C9" s="28" t="n">
        <v>17.2</v>
      </c>
      <c r="D9" s="28" t="n">
        <v>13.5</v>
      </c>
      <c r="E9" s="28" t="n">
        <v>86.2</v>
      </c>
      <c r="F9" s="28" t="n">
        <v>11</v>
      </c>
      <c r="G9" s="28" t="n">
        <v>2.8</v>
      </c>
    </row>
    <row r="10" customFormat="false" ht="14.65" hidden="false" customHeight="false" outlineLevel="0" collapsed="false">
      <c r="A10" s="4" t="s">
        <v>13</v>
      </c>
      <c r="B10" s="28" t="n">
        <v>79.3</v>
      </c>
      <c r="C10" s="28" t="n">
        <v>5.3</v>
      </c>
      <c r="D10" s="28" t="n">
        <v>15.4</v>
      </c>
      <c r="E10" s="28" t="n">
        <v>92.7</v>
      </c>
      <c r="F10" s="28" t="n">
        <v>3.9</v>
      </c>
      <c r="G10" s="28" t="n">
        <v>3.4</v>
      </c>
    </row>
    <row r="11" customFormat="false" ht="14.65" hidden="false" customHeight="false" outlineLevel="0" collapsed="false">
      <c r="A11" s="4" t="s">
        <v>14</v>
      </c>
      <c r="B11" s="28" t="n">
        <v>79.5</v>
      </c>
      <c r="C11" s="28" t="n">
        <v>13.1</v>
      </c>
      <c r="D11" s="28" t="n">
        <v>7.4</v>
      </c>
      <c r="E11" s="28" t="n">
        <v>83.2</v>
      </c>
      <c r="F11" s="28" t="n">
        <v>12</v>
      </c>
      <c r="G11" s="28" t="n">
        <v>4.8</v>
      </c>
    </row>
    <row r="12" customFormat="false" ht="14.65" hidden="false" customHeight="false" outlineLevel="0" collapsed="false">
      <c r="A12" s="4" t="s">
        <v>15</v>
      </c>
      <c r="B12" s="28" t="n">
        <v>100</v>
      </c>
      <c r="C12" s="28" t="n">
        <v>0</v>
      </c>
      <c r="D12" s="28" t="n">
        <v>0</v>
      </c>
      <c r="E12" s="28" t="n">
        <v>63.5</v>
      </c>
      <c r="F12" s="28" t="n">
        <v>25.2</v>
      </c>
      <c r="G12" s="28" t="n">
        <v>11.3</v>
      </c>
    </row>
    <row r="13" customFormat="false" ht="14.65" hidden="false" customHeight="false" outlineLevel="0" collapsed="false">
      <c r="A13" s="5" t="s">
        <v>16</v>
      </c>
      <c r="B13" s="28" t="n">
        <v>100</v>
      </c>
      <c r="C13" s="28" t="n">
        <v>0</v>
      </c>
      <c r="D13" s="28" t="n">
        <v>0</v>
      </c>
      <c r="E13" s="28" t="n">
        <v>97.1</v>
      </c>
      <c r="F13" s="28" t="n">
        <v>2.6</v>
      </c>
      <c r="G13" s="28" t="n">
        <v>0.300000000000006</v>
      </c>
    </row>
    <row r="14" customFormat="false" ht="14.65" hidden="false" customHeight="false" outlineLevel="0" collapsed="false">
      <c r="A14" s="4" t="s">
        <v>17</v>
      </c>
      <c r="B14" s="28" t="n">
        <v>74.8</v>
      </c>
      <c r="C14" s="28" t="n">
        <v>11.9</v>
      </c>
      <c r="D14" s="28" t="n">
        <v>13.3</v>
      </c>
      <c r="E14" s="28" t="n">
        <v>82.3</v>
      </c>
      <c r="F14" s="28" t="n">
        <v>11.7</v>
      </c>
      <c r="G14" s="28" t="n">
        <v>6</v>
      </c>
    </row>
    <row r="15" customFormat="false" ht="14.65" hidden="false" customHeight="false" outlineLevel="0" collapsed="false">
      <c r="A15" s="4" t="s">
        <v>18</v>
      </c>
      <c r="B15" s="28" t="n">
        <v>61.1</v>
      </c>
      <c r="C15" s="28" t="n">
        <v>19.3</v>
      </c>
      <c r="D15" s="28" t="n">
        <v>19.6</v>
      </c>
      <c r="E15" s="28" t="n">
        <v>66.7</v>
      </c>
      <c r="F15" s="28" t="n">
        <v>24.9</v>
      </c>
      <c r="G15" s="28" t="n">
        <v>8.4</v>
      </c>
    </row>
    <row r="16" customFormat="false" ht="14.65" hidden="false" customHeight="false" outlineLevel="0" collapsed="false">
      <c r="A16" s="4" t="s">
        <v>19</v>
      </c>
      <c r="B16" s="28" t="n">
        <v>100</v>
      </c>
      <c r="C16" s="28" t="n">
        <v>0</v>
      </c>
      <c r="D16" s="28" t="n">
        <v>0</v>
      </c>
      <c r="E16" s="28" t="n">
        <v>79.3</v>
      </c>
      <c r="F16" s="28" t="n">
        <v>20.1</v>
      </c>
      <c r="G16" s="28" t="n">
        <v>0.600000000000001</v>
      </c>
    </row>
    <row r="17" customFormat="false" ht="14.65" hidden="false" customHeight="false" outlineLevel="0" collapsed="false">
      <c r="A17" s="5" t="s">
        <v>21</v>
      </c>
      <c r="B17" s="28" t="n">
        <v>47.8</v>
      </c>
      <c r="C17" s="28" t="n">
        <v>31.5</v>
      </c>
      <c r="D17" s="28" t="n">
        <v>20.7</v>
      </c>
      <c r="E17" s="28" t="n">
        <v>61</v>
      </c>
      <c r="F17" s="28" t="n">
        <v>31.3</v>
      </c>
      <c r="G17" s="28" t="n">
        <v>7.7</v>
      </c>
    </row>
    <row r="18" customFormat="false" ht="14.65" hidden="false" customHeight="false" outlineLevel="0" collapsed="false">
      <c r="A18" s="4" t="s">
        <v>22</v>
      </c>
      <c r="B18" s="28" t="n">
        <v>64.7</v>
      </c>
      <c r="C18" s="28" t="n">
        <v>12.8</v>
      </c>
      <c r="D18" s="28" t="n">
        <v>22.5</v>
      </c>
      <c r="E18" s="28" t="n">
        <v>78.1</v>
      </c>
      <c r="F18" s="28" t="n">
        <v>14.9</v>
      </c>
      <c r="G18" s="28" t="n">
        <v>7.00000000000001</v>
      </c>
    </row>
    <row r="19" customFormat="false" ht="14.65" hidden="false" customHeight="false" outlineLevel="0" collapsed="false">
      <c r="A19" s="4" t="s">
        <v>23</v>
      </c>
      <c r="B19" s="28" t="n">
        <v>59.2</v>
      </c>
      <c r="C19" s="28" t="n">
        <v>16.3</v>
      </c>
      <c r="D19" s="28" t="n">
        <v>24.5</v>
      </c>
      <c r="E19" s="28" t="n">
        <v>68.7</v>
      </c>
      <c r="F19" s="28" t="n">
        <v>16.8</v>
      </c>
      <c r="G19" s="28" t="n">
        <v>14.5</v>
      </c>
    </row>
    <row r="20" customFormat="false" ht="14.65" hidden="false" customHeight="false" outlineLevel="0" collapsed="false">
      <c r="A20" s="4" t="s">
        <v>271</v>
      </c>
      <c r="B20" s="28" t="n">
        <v>58.5</v>
      </c>
      <c r="C20" s="28" t="n">
        <v>13.3</v>
      </c>
      <c r="D20" s="28" t="n">
        <v>28.2</v>
      </c>
      <c r="E20" s="28" t="n">
        <v>71.8</v>
      </c>
      <c r="F20" s="28" t="n">
        <v>12.9</v>
      </c>
      <c r="G20" s="28" t="n">
        <v>15.3</v>
      </c>
    </row>
    <row r="21" customFormat="false" ht="14.65" hidden="false" customHeight="false" outlineLevel="0" collapsed="false">
      <c r="A21" s="5" t="s">
        <v>25</v>
      </c>
      <c r="B21" s="28" t="n">
        <v>62.8</v>
      </c>
      <c r="C21" s="28" t="n">
        <v>18</v>
      </c>
      <c r="D21" s="28" t="n">
        <v>19.2</v>
      </c>
      <c r="E21" s="28" t="n">
        <v>69.1</v>
      </c>
      <c r="F21" s="28" t="n">
        <v>25.5</v>
      </c>
      <c r="G21" s="28" t="n">
        <v>5.40000000000001</v>
      </c>
    </row>
    <row r="22" customFormat="false" ht="14.65" hidden="false" customHeight="false" outlineLevel="0" collapsed="false">
      <c r="A22" s="4" t="s">
        <v>26</v>
      </c>
      <c r="B22" s="28" t="n">
        <v>55.1</v>
      </c>
      <c r="C22" s="28" t="n">
        <v>23.9</v>
      </c>
      <c r="D22" s="28" t="n">
        <v>21</v>
      </c>
      <c r="E22" s="28" t="n">
        <v>68</v>
      </c>
      <c r="F22" s="28" t="n">
        <v>25.4</v>
      </c>
      <c r="G22" s="28" t="n">
        <v>6.6</v>
      </c>
    </row>
    <row r="23" customFormat="false" ht="14.65" hidden="false" customHeight="false" outlineLevel="0" collapsed="false">
      <c r="A23" s="4" t="s">
        <v>27</v>
      </c>
      <c r="B23" s="28" t="n">
        <v>57</v>
      </c>
      <c r="C23" s="28" t="n">
        <v>27.1</v>
      </c>
      <c r="D23" s="28" t="n">
        <v>15.9</v>
      </c>
      <c r="E23" s="28" t="n">
        <v>63.8</v>
      </c>
      <c r="F23" s="28" t="n">
        <v>25</v>
      </c>
      <c r="G23" s="28" t="n">
        <v>11.2</v>
      </c>
    </row>
    <row r="24" customFormat="false" ht="14.65" hidden="false" customHeight="false" outlineLevel="0" collapsed="false">
      <c r="A24" s="4" t="s">
        <v>28</v>
      </c>
      <c r="B24" s="28" t="n">
        <v>62.5</v>
      </c>
      <c r="C24" s="28" t="n">
        <v>26.1</v>
      </c>
      <c r="D24" s="28" t="n">
        <v>11.4</v>
      </c>
      <c r="E24" s="28" t="n">
        <v>74.7</v>
      </c>
      <c r="F24" s="28" t="n">
        <v>22</v>
      </c>
      <c r="G24" s="28" t="n">
        <v>3.3</v>
      </c>
    </row>
    <row r="25" customFormat="false" ht="14.65" hidden="false" customHeight="false" outlineLevel="0" collapsed="false">
      <c r="A25" s="5" t="s">
        <v>29</v>
      </c>
      <c r="B25" s="28" t="n">
        <v>63.7</v>
      </c>
      <c r="C25" s="28" t="n">
        <v>17.2</v>
      </c>
      <c r="D25" s="28" t="n">
        <v>19.1</v>
      </c>
      <c r="E25" s="28" t="n">
        <v>65.3</v>
      </c>
      <c r="F25" s="28" t="n">
        <v>33.5</v>
      </c>
      <c r="G25" s="28" t="n">
        <v>1.2</v>
      </c>
    </row>
    <row r="26" customFormat="false" ht="14.65" hidden="false" customHeight="false" outlineLevel="0" collapsed="false">
      <c r="A26" s="4" t="s">
        <v>30</v>
      </c>
      <c r="B26" s="28" t="n">
        <v>74.8</v>
      </c>
      <c r="C26" s="28" t="n">
        <v>15.5</v>
      </c>
      <c r="D26" s="28" t="n">
        <v>9.7</v>
      </c>
      <c r="E26" s="28" t="n">
        <v>85.4</v>
      </c>
      <c r="F26" s="28" t="n">
        <v>11</v>
      </c>
      <c r="G26" s="28" t="n">
        <v>3.59999999999999</v>
      </c>
    </row>
    <row r="27" customFormat="false" ht="14.65" hidden="false" customHeight="false" outlineLevel="0" collapsed="false">
      <c r="A27" s="4" t="s">
        <v>31</v>
      </c>
      <c r="B27" s="28" t="n">
        <v>72.2</v>
      </c>
      <c r="C27" s="28" t="n">
        <v>18.6</v>
      </c>
      <c r="D27" s="28" t="n">
        <v>9.2</v>
      </c>
      <c r="E27" s="28" t="n">
        <v>72.7</v>
      </c>
      <c r="F27" s="28" t="n">
        <v>19.5</v>
      </c>
      <c r="G27" s="28" t="n">
        <v>7.8</v>
      </c>
    </row>
    <row r="28" customFormat="false" ht="14.65" hidden="false" customHeight="false" outlineLevel="0" collapsed="false">
      <c r="A28" s="4" t="s">
        <v>272</v>
      </c>
      <c r="B28" s="28" t="n">
        <v>76.4</v>
      </c>
      <c r="C28" s="28" t="n">
        <v>12.7</v>
      </c>
      <c r="D28" s="28" t="n">
        <v>10.9</v>
      </c>
      <c r="E28" s="28" t="n">
        <v>83.1</v>
      </c>
      <c r="F28" s="28" t="n">
        <v>12.5</v>
      </c>
      <c r="G28" s="28" t="n">
        <v>4.40000000000001</v>
      </c>
    </row>
    <row r="29" customFormat="false" ht="14.65" hidden="false" customHeight="false" outlineLevel="0" collapsed="false">
      <c r="A29" s="5" t="s">
        <v>33</v>
      </c>
      <c r="B29" s="28" t="n">
        <v>63.9</v>
      </c>
      <c r="C29" s="28" t="n">
        <v>17.2</v>
      </c>
      <c r="D29" s="28" t="n">
        <v>18.9</v>
      </c>
      <c r="E29" s="28" t="n">
        <v>68.1</v>
      </c>
      <c r="F29" s="28" t="n">
        <v>16.3</v>
      </c>
      <c r="G29" s="28" t="n">
        <v>15.6</v>
      </c>
    </row>
    <row r="30" customFormat="false" ht="14.65" hidden="false" customHeight="false" outlineLevel="0" collapsed="false">
      <c r="A30" s="4" t="s">
        <v>34</v>
      </c>
      <c r="B30" s="28" t="n">
        <v>63.7</v>
      </c>
      <c r="C30" s="28" t="n">
        <v>12</v>
      </c>
      <c r="D30" s="28" t="n">
        <v>24.3</v>
      </c>
      <c r="E30" s="28" t="n">
        <v>80.2</v>
      </c>
      <c r="F30" s="28" t="n">
        <v>14.6</v>
      </c>
      <c r="G30" s="28" t="n">
        <v>5.2</v>
      </c>
    </row>
    <row r="31" customFormat="false" ht="14.65" hidden="false" customHeight="false" outlineLevel="0" collapsed="false">
      <c r="A31" s="4" t="s">
        <v>35</v>
      </c>
      <c r="B31" s="28" t="n">
        <v>53.1</v>
      </c>
      <c r="C31" s="28" t="n">
        <v>31.6</v>
      </c>
      <c r="D31" s="28" t="n">
        <v>15.3</v>
      </c>
      <c r="E31" s="28" t="n">
        <v>67.5</v>
      </c>
      <c r="F31" s="28" t="n">
        <v>22.9</v>
      </c>
      <c r="G31" s="28" t="n">
        <v>9.6</v>
      </c>
    </row>
    <row r="32" customFormat="false" ht="14.65" hidden="false" customHeight="false" outlineLevel="0" collapsed="false">
      <c r="A32" s="4" t="s">
        <v>36</v>
      </c>
      <c r="B32" s="28" t="n">
        <v>50.3</v>
      </c>
      <c r="C32" s="28" t="n">
        <v>23.6</v>
      </c>
      <c r="D32" s="28" t="n">
        <v>26.1</v>
      </c>
      <c r="E32" s="28" t="n">
        <v>68.8</v>
      </c>
      <c r="F32" s="28" t="n">
        <v>25.5</v>
      </c>
      <c r="G32" s="28" t="n">
        <v>5.7</v>
      </c>
    </row>
    <row r="33" customFormat="false" ht="14.65" hidden="false" customHeight="false" outlineLevel="0" collapsed="false">
      <c r="A33" s="5" t="s">
        <v>273</v>
      </c>
      <c r="B33" s="28" t="n">
        <v>59.5</v>
      </c>
      <c r="C33" s="28" t="n">
        <v>14.3</v>
      </c>
      <c r="D33" s="28" t="n">
        <v>26.2</v>
      </c>
      <c r="E33" s="28" t="n">
        <v>811</v>
      </c>
      <c r="F33" s="28" t="n">
        <v>13.2</v>
      </c>
      <c r="G33" s="28" t="n">
        <v>5.70000000000001</v>
      </c>
    </row>
    <row r="34" customFormat="false" ht="14.65" hidden="false" customHeight="false" outlineLevel="0" collapsed="false">
      <c r="A34" s="4" t="s">
        <v>38</v>
      </c>
      <c r="B34" s="28" t="n">
        <v>74.5</v>
      </c>
      <c r="C34" s="28" t="n">
        <v>21.8</v>
      </c>
      <c r="D34" s="28" t="n">
        <v>3.7</v>
      </c>
      <c r="E34" s="28" t="n">
        <v>69.3</v>
      </c>
      <c r="F34" s="28" t="n">
        <v>27</v>
      </c>
      <c r="G34" s="28" t="n">
        <v>3.7</v>
      </c>
    </row>
    <row r="35" customFormat="false" ht="14.65" hidden="false" customHeight="false" outlineLevel="0" collapsed="false">
      <c r="A35" s="4" t="s">
        <v>39</v>
      </c>
      <c r="B35" s="28" t="n">
        <v>72.5</v>
      </c>
      <c r="C35" s="28" t="n">
        <v>16.3</v>
      </c>
      <c r="D35" s="28" t="n">
        <v>11.2</v>
      </c>
      <c r="E35" s="28" t="n">
        <v>74.4</v>
      </c>
      <c r="F35" s="28" t="n">
        <v>17.7</v>
      </c>
      <c r="G35" s="28" t="n">
        <v>7.9</v>
      </c>
    </row>
    <row r="36" customFormat="false" ht="14.65" hidden="false" customHeight="false" outlineLevel="0" collapsed="false">
      <c r="A36" s="4" t="s">
        <v>40</v>
      </c>
      <c r="B36" s="28" t="n">
        <v>63.6</v>
      </c>
      <c r="C36" s="28" t="n">
        <v>15.3</v>
      </c>
      <c r="D36" s="28" t="n">
        <v>21.1</v>
      </c>
      <c r="E36" s="28" t="n">
        <v>66</v>
      </c>
      <c r="F36" s="28" t="n">
        <v>14.7</v>
      </c>
      <c r="G36" s="28" t="n">
        <v>19.3</v>
      </c>
    </row>
    <row r="37" customFormat="false" ht="14.65" hidden="false" customHeight="false" outlineLevel="0" collapsed="false">
      <c r="A37" s="5" t="s">
        <v>41</v>
      </c>
      <c r="B37" s="28" t="n">
        <v>69.5</v>
      </c>
      <c r="C37" s="28" t="n">
        <v>16.3</v>
      </c>
      <c r="D37" s="28" t="n">
        <v>14.2</v>
      </c>
      <c r="E37" s="28" t="n">
        <v>77.4</v>
      </c>
      <c r="F37" s="28" t="n">
        <v>17.2</v>
      </c>
      <c r="G37" s="28" t="n">
        <v>5.4</v>
      </c>
    </row>
    <row r="38" customFormat="false" ht="14.65" hidden="false" customHeight="false" outlineLevel="0" collapsed="false">
      <c r="A38" s="4" t="s">
        <v>42</v>
      </c>
      <c r="B38" s="28" t="n">
        <v>70.9</v>
      </c>
      <c r="C38" s="28" t="n">
        <v>7.1</v>
      </c>
      <c r="D38" s="28" t="n">
        <v>22</v>
      </c>
      <c r="E38" s="28" t="n">
        <v>74.5</v>
      </c>
      <c r="F38" s="28" t="n">
        <v>14.3</v>
      </c>
      <c r="G38" s="28" t="n">
        <v>11.2</v>
      </c>
    </row>
    <row r="39" customFormat="false" ht="14.65" hidden="false" customHeight="false" outlineLevel="0" collapsed="false">
      <c r="A39" s="4" t="s">
        <v>43</v>
      </c>
      <c r="B39" s="28" t="n">
        <v>64.6</v>
      </c>
      <c r="C39" s="28" t="n">
        <v>21.1</v>
      </c>
      <c r="D39" s="28" t="n">
        <v>14.3</v>
      </c>
      <c r="E39" s="28" t="n">
        <v>73.3</v>
      </c>
      <c r="F39" s="28" t="n">
        <v>19.6</v>
      </c>
      <c r="G39" s="28" t="n">
        <v>7.1</v>
      </c>
    </row>
    <row r="40" customFormat="false" ht="14.65" hidden="false" customHeight="false" outlineLevel="0" collapsed="false">
      <c r="A40" s="4" t="s">
        <v>44</v>
      </c>
      <c r="B40" s="28" t="n">
        <v>67.2</v>
      </c>
      <c r="C40" s="28" t="n">
        <v>12.6</v>
      </c>
      <c r="D40" s="28" t="n">
        <v>20.2</v>
      </c>
      <c r="E40" s="28" t="n">
        <v>79.7</v>
      </c>
      <c r="F40" s="28" t="n">
        <v>12.2</v>
      </c>
      <c r="G40" s="28" t="n">
        <v>8.1</v>
      </c>
    </row>
    <row r="41" customFormat="false" ht="14.65" hidden="false" customHeight="false" outlineLevel="0" collapsed="false">
      <c r="A41" s="5" t="s">
        <v>280</v>
      </c>
      <c r="B41" s="28" t="n">
        <v>62.8</v>
      </c>
      <c r="C41" s="28" t="n">
        <v>18</v>
      </c>
      <c r="D41" s="28" t="n">
        <v>19.2</v>
      </c>
      <c r="E41" s="28" t="n">
        <v>69.1</v>
      </c>
      <c r="F41" s="28" t="n">
        <v>25.5</v>
      </c>
      <c r="G41" s="28" t="n">
        <v>5.40000000000001</v>
      </c>
    </row>
    <row r="42" customFormat="false" ht="14.65" hidden="false" customHeight="false" outlineLevel="0" collapsed="false">
      <c r="A42" s="4" t="s">
        <v>46</v>
      </c>
      <c r="B42" s="28" t="n">
        <v>54.3</v>
      </c>
      <c r="C42" s="28" t="n">
        <v>29.5</v>
      </c>
      <c r="D42" s="28" t="n">
        <v>16.2</v>
      </c>
      <c r="E42" s="28" t="n">
        <v>65.5</v>
      </c>
      <c r="F42" s="28" t="n">
        <v>28.9</v>
      </c>
      <c r="G42" s="28" t="n">
        <v>5.6</v>
      </c>
    </row>
    <row r="43" customFormat="false" ht="14.65" hidden="false" customHeight="false" outlineLevel="0" collapsed="false">
      <c r="A43" s="4" t="s">
        <v>47</v>
      </c>
      <c r="B43" s="28" t="n">
        <v>60.5</v>
      </c>
      <c r="C43" s="28" t="n">
        <v>16.5</v>
      </c>
      <c r="D43" s="28" t="n">
        <v>23</v>
      </c>
      <c r="E43" s="28" t="n">
        <v>73.8</v>
      </c>
      <c r="F43" s="28" t="n">
        <v>16.2</v>
      </c>
      <c r="G43" s="28" t="n">
        <v>10</v>
      </c>
    </row>
    <row r="44" customFormat="false" ht="14.65" hidden="false" customHeight="false" outlineLevel="0" collapsed="false">
      <c r="A44" s="4" t="s">
        <v>48</v>
      </c>
      <c r="B44" s="28" t="n">
        <v>74.8</v>
      </c>
      <c r="C44" s="28" t="n">
        <v>16.9</v>
      </c>
      <c r="D44" s="28" t="n">
        <v>8.3</v>
      </c>
      <c r="E44" s="28" t="n">
        <v>79.9</v>
      </c>
      <c r="F44" s="28" t="n">
        <v>14</v>
      </c>
      <c r="G44" s="28" t="n">
        <v>6.09999999999999</v>
      </c>
    </row>
    <row r="45" customFormat="false" ht="14.65" hidden="false" customHeight="false" outlineLevel="0" collapsed="false">
      <c r="A45" s="5" t="s">
        <v>49</v>
      </c>
      <c r="B45" s="28" t="n">
        <v>70.6</v>
      </c>
      <c r="C45" s="28" t="n">
        <v>10.6</v>
      </c>
      <c r="D45" s="28" t="n">
        <v>18.8</v>
      </c>
      <c r="E45" s="28" t="n">
        <v>76.6</v>
      </c>
      <c r="F45" s="28" t="n">
        <v>12.1</v>
      </c>
      <c r="G45" s="28" t="n">
        <v>11.3</v>
      </c>
    </row>
    <row r="46" customFormat="false" ht="14.65" hidden="false" customHeight="false" outlineLevel="0" collapsed="false">
      <c r="A46" s="4" t="s">
        <v>50</v>
      </c>
      <c r="B46" s="28" t="n">
        <v>72.9</v>
      </c>
      <c r="C46" s="28" t="n">
        <v>16.4</v>
      </c>
      <c r="D46" s="28" t="n">
        <v>10.7</v>
      </c>
      <c r="E46" s="28" t="n">
        <v>80.6</v>
      </c>
      <c r="F46" s="28" t="n">
        <v>16.9</v>
      </c>
      <c r="G46" s="28" t="n">
        <v>2.50000000000001</v>
      </c>
    </row>
    <row r="47" customFormat="false" ht="14.65" hidden="false" customHeight="false" outlineLevel="0" collapsed="false">
      <c r="A47" s="4" t="s">
        <v>51</v>
      </c>
      <c r="B47" s="28" t="n">
        <v>65</v>
      </c>
      <c r="C47" s="28" t="n">
        <v>13.9</v>
      </c>
      <c r="D47" s="28" t="n">
        <v>21.1</v>
      </c>
      <c r="E47" s="28" t="n">
        <v>69.9</v>
      </c>
      <c r="F47" s="28" t="n">
        <v>20.5</v>
      </c>
      <c r="G47" s="28" t="n">
        <v>9.59999999999999</v>
      </c>
    </row>
    <row r="48" customFormat="false" ht="14.65" hidden="false" customHeight="false" outlineLevel="0" collapsed="false">
      <c r="A48" s="4" t="s">
        <v>52</v>
      </c>
      <c r="B48" s="28" t="n">
        <v>60.5</v>
      </c>
      <c r="C48" s="28" t="n">
        <v>20.4</v>
      </c>
      <c r="D48" s="28" t="n">
        <v>19.1</v>
      </c>
      <c r="E48" s="28" t="n">
        <v>73.2</v>
      </c>
      <c r="F48" s="28" t="n">
        <v>19.8</v>
      </c>
      <c r="G48" s="28" t="n">
        <v>7</v>
      </c>
    </row>
    <row r="49" customFormat="false" ht="14.65" hidden="false" customHeight="false" outlineLevel="0" collapsed="false">
      <c r="A49" s="5" t="s">
        <v>53</v>
      </c>
      <c r="B49" s="28" t="n">
        <v>60.6</v>
      </c>
      <c r="C49" s="28" t="n">
        <v>21.6</v>
      </c>
      <c r="D49" s="28" t="n">
        <v>17.8</v>
      </c>
      <c r="E49" s="28" t="n">
        <v>73.6</v>
      </c>
      <c r="F49" s="28" t="n">
        <v>20.7</v>
      </c>
      <c r="G49" s="28" t="n">
        <v>5.70000000000001</v>
      </c>
    </row>
    <row r="50" customFormat="false" ht="14.65" hidden="false" customHeight="false" outlineLevel="0" collapsed="false">
      <c r="A50" s="4" t="s">
        <v>54</v>
      </c>
      <c r="B50" s="28" t="n">
        <v>80.1</v>
      </c>
      <c r="C50" s="28" t="n">
        <v>14.8</v>
      </c>
      <c r="D50" s="28" t="n">
        <v>5.10000000000001</v>
      </c>
      <c r="E50" s="28" t="n">
        <v>79.7</v>
      </c>
      <c r="F50" s="28" t="n">
        <v>16</v>
      </c>
      <c r="G50" s="28" t="n">
        <v>4.3</v>
      </c>
    </row>
    <row r="51" customFormat="false" ht="14.65" hidden="false" customHeight="false" outlineLevel="0" collapsed="false">
      <c r="A51" s="4" t="s">
        <v>55</v>
      </c>
      <c r="B51" s="28" t="n">
        <v>68.8</v>
      </c>
      <c r="C51" s="28" t="n">
        <v>16.6</v>
      </c>
      <c r="D51" s="28" t="n">
        <v>14.6</v>
      </c>
      <c r="E51" s="28" t="n">
        <v>78.1</v>
      </c>
      <c r="F51" s="28" t="n">
        <v>16.6</v>
      </c>
      <c r="G51" s="28" t="n">
        <v>5.3</v>
      </c>
    </row>
    <row r="52" customFormat="false" ht="14.65" hidden="false" customHeight="false" outlineLevel="0" collapsed="false">
      <c r="A52" s="4" t="s">
        <v>56</v>
      </c>
      <c r="B52" s="28" t="n">
        <v>64.9</v>
      </c>
      <c r="C52" s="28" t="n">
        <v>24.6</v>
      </c>
      <c r="D52" s="28" t="n">
        <v>10.5</v>
      </c>
      <c r="E52" s="28" t="n">
        <v>70</v>
      </c>
      <c r="F52" s="28" t="n">
        <v>25.6</v>
      </c>
      <c r="G52" s="28" t="n">
        <v>4.4</v>
      </c>
    </row>
    <row r="53" customFormat="false" ht="14.65" hidden="false" customHeight="false" outlineLevel="0" collapsed="false">
      <c r="A53" s="5" t="s">
        <v>57</v>
      </c>
      <c r="B53" s="28" t="n">
        <v>70.1</v>
      </c>
      <c r="C53" s="28" t="n">
        <v>12.9</v>
      </c>
      <c r="D53" s="28" t="n">
        <v>17</v>
      </c>
      <c r="E53" s="28" t="n">
        <v>72.9</v>
      </c>
      <c r="F53" s="28" t="n">
        <v>15</v>
      </c>
      <c r="G53" s="28" t="n">
        <v>12.1</v>
      </c>
    </row>
    <row r="54" customFormat="false" ht="14.65" hidden="false" customHeight="false" outlineLevel="0" collapsed="false">
      <c r="A54" s="4" t="s">
        <v>58</v>
      </c>
      <c r="B54" s="28" t="n">
        <v>77</v>
      </c>
      <c r="C54" s="28" t="n">
        <v>9.7</v>
      </c>
      <c r="D54" s="28" t="n">
        <v>13.3</v>
      </c>
      <c r="E54" s="28" t="n">
        <v>76.5</v>
      </c>
      <c r="F54" s="28" t="n">
        <v>14.2</v>
      </c>
      <c r="G54" s="28" t="n">
        <v>9.3</v>
      </c>
    </row>
    <row r="55" customFormat="false" ht="14.65" hidden="false" customHeight="false" outlineLevel="0" collapsed="false">
      <c r="A55" s="4" t="s">
        <v>59</v>
      </c>
      <c r="B55" s="28" t="n">
        <v>41.2</v>
      </c>
      <c r="C55" s="28" t="n">
        <v>24.4</v>
      </c>
      <c r="D55" s="28" t="n">
        <v>34.4</v>
      </c>
      <c r="E55" s="28" t="n">
        <v>55.1</v>
      </c>
      <c r="F55" s="28" t="n">
        <v>34.7</v>
      </c>
      <c r="G55" s="28" t="n">
        <v>10.2</v>
      </c>
    </row>
    <row r="56" customFormat="false" ht="14.65" hidden="false" customHeight="false" outlineLevel="0" collapsed="false">
      <c r="A56" s="5" t="s">
        <v>60</v>
      </c>
      <c r="B56" s="28"/>
      <c r="C56" s="28"/>
      <c r="D56" s="28"/>
      <c r="E56" s="28"/>
      <c r="F56" s="28"/>
      <c r="G56" s="28"/>
    </row>
    <row r="57" customFormat="false" ht="14.65" hidden="false" customHeight="false" outlineLevel="0" collapsed="false">
      <c r="A57" s="6" t="s">
        <v>61</v>
      </c>
      <c r="B57" s="28" t="n">
        <v>67.3372549019608</v>
      </c>
      <c r="C57" s="28" t="n">
        <v>16.5058823529412</v>
      </c>
      <c r="D57" s="28" t="n">
        <v>16.156862745098</v>
      </c>
      <c r="E57" s="28" t="n">
        <v>74.5647058823529</v>
      </c>
      <c r="F57" s="28" t="n">
        <v>18.0411764705882</v>
      </c>
      <c r="G57" s="28" t="n">
        <v>7.39411764705882</v>
      </c>
    </row>
    <row r="59" customFormat="false" ht="14.65" hidden="false" customHeight="false" outlineLevel="0" collapsed="false">
      <c r="A59" s="3" t="s">
        <v>275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F4" activeCellId="0" sqref="F4:I55 F4:I55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9" t="s">
        <v>108</v>
      </c>
      <c r="B1" s="3" t="s">
        <v>281</v>
      </c>
    </row>
    <row r="2" customFormat="false" ht="14.65" hidden="false" customHeight="false" outlineLevel="0" collapsed="false">
      <c r="A2" s="1"/>
      <c r="B2" s="3" t="s">
        <v>277</v>
      </c>
      <c r="E2" s="3" t="s">
        <v>235</v>
      </c>
    </row>
    <row r="3" customFormat="false" ht="14.65" hidden="false" customHeight="false" outlineLevel="0" collapsed="false">
      <c r="A3" s="17"/>
      <c r="B3" s="3" t="s">
        <v>236</v>
      </c>
      <c r="C3" s="3" t="s">
        <v>282</v>
      </c>
      <c r="D3" s="3" t="s">
        <v>283</v>
      </c>
      <c r="E3" s="3" t="s">
        <v>236</v>
      </c>
      <c r="F3" s="3" t="s">
        <v>282</v>
      </c>
      <c r="G3" s="3" t="s">
        <v>283</v>
      </c>
    </row>
    <row r="4" customFormat="false" ht="14.65" hidden="false" customHeight="false" outlineLevel="0" collapsed="false">
      <c r="A4" s="1"/>
      <c r="B4" s="3" t="s">
        <v>188</v>
      </c>
      <c r="C4" s="3" t="s">
        <v>198</v>
      </c>
      <c r="D4" s="3" t="s">
        <v>199</v>
      </c>
      <c r="E4" s="3" t="s">
        <v>191</v>
      </c>
      <c r="F4" s="3" t="s">
        <v>196</v>
      </c>
      <c r="G4" s="3" t="s">
        <v>197</v>
      </c>
      <c r="H4" s="3" t="s">
        <v>198</v>
      </c>
      <c r="I4" s="3" t="s">
        <v>199</v>
      </c>
    </row>
    <row r="5" customFormat="false" ht="14.65" hidden="false" customHeight="false" outlineLevel="0" collapsed="false">
      <c r="A5" s="4" t="s">
        <v>8</v>
      </c>
      <c r="B5" s="3" t="n">
        <v>602</v>
      </c>
      <c r="C5" s="3" t="n">
        <v>0</v>
      </c>
      <c r="D5" s="3" t="n">
        <v>602</v>
      </c>
      <c r="E5" s="3" t="n">
        <v>297</v>
      </c>
      <c r="F5" s="3" t="n">
        <v>43</v>
      </c>
      <c r="G5" s="3" t="n">
        <v>254</v>
      </c>
      <c r="H5" s="3" t="n">
        <v>0</v>
      </c>
      <c r="I5" s="3" t="n">
        <v>602</v>
      </c>
    </row>
    <row r="6" customFormat="false" ht="14.65" hidden="false" customHeight="false" outlineLevel="0" collapsed="false">
      <c r="A6" s="4" t="s">
        <v>9</v>
      </c>
      <c r="B6" s="3" t="n">
        <v>1003</v>
      </c>
      <c r="C6" s="3" t="n">
        <v>0</v>
      </c>
      <c r="D6" s="3" t="n">
        <v>1003</v>
      </c>
      <c r="E6" s="3" t="n">
        <v>54</v>
      </c>
      <c r="F6" s="3" t="n">
        <v>10</v>
      </c>
      <c r="G6" s="3" t="n">
        <v>44</v>
      </c>
      <c r="H6" s="3" t="n">
        <v>0</v>
      </c>
      <c r="I6" s="3" t="n">
        <v>1003</v>
      </c>
    </row>
    <row r="7" customFormat="false" ht="14.65" hidden="false" customHeight="false" outlineLevel="0" collapsed="false">
      <c r="A7" s="4" t="s">
        <v>10</v>
      </c>
      <c r="B7" s="3" t="n">
        <v>987</v>
      </c>
      <c r="C7" s="3" t="n">
        <v>0</v>
      </c>
      <c r="D7" s="3" t="n">
        <v>987</v>
      </c>
      <c r="E7" s="3" t="n">
        <v>202</v>
      </c>
      <c r="F7" s="3" t="n">
        <v>54</v>
      </c>
      <c r="G7" s="3" t="n">
        <v>148</v>
      </c>
      <c r="H7" s="3" t="n">
        <v>0</v>
      </c>
      <c r="I7" s="3" t="n">
        <v>987</v>
      </c>
    </row>
    <row r="8" customFormat="false" ht="14.65" hidden="false" customHeight="false" outlineLevel="0" collapsed="false">
      <c r="A8" s="4" t="s">
        <v>11</v>
      </c>
      <c r="B8" s="3" t="n">
        <v>412</v>
      </c>
      <c r="C8" s="3" t="n">
        <v>3</v>
      </c>
      <c r="D8" s="3" t="n">
        <v>409</v>
      </c>
      <c r="E8" s="3" t="n">
        <v>131</v>
      </c>
      <c r="F8" s="3" t="n">
        <v>45</v>
      </c>
      <c r="G8" s="3" t="n">
        <v>86</v>
      </c>
      <c r="H8" s="3" t="n">
        <v>3</v>
      </c>
      <c r="I8" s="3" t="n">
        <v>409</v>
      </c>
    </row>
    <row r="9" customFormat="false" ht="14.65" hidden="false" customHeight="false" outlineLevel="0" collapsed="false">
      <c r="A9" s="5" t="s">
        <v>12</v>
      </c>
      <c r="B9" s="3" t="n">
        <v>1356</v>
      </c>
      <c r="C9" s="3" t="n">
        <v>286</v>
      </c>
      <c r="D9" s="3" t="n">
        <v>1070</v>
      </c>
      <c r="E9" s="3" t="n">
        <v>1067</v>
      </c>
      <c r="F9" s="3" t="n">
        <v>940</v>
      </c>
      <c r="G9" s="3" t="n">
        <v>127</v>
      </c>
      <c r="H9" s="3" t="n">
        <v>286</v>
      </c>
      <c r="I9" s="3" t="n">
        <v>1070</v>
      </c>
    </row>
    <row r="10" customFormat="false" ht="14.65" hidden="false" customHeight="false" outlineLevel="0" collapsed="false">
      <c r="A10" s="4" t="s">
        <v>13</v>
      </c>
      <c r="B10" s="3" t="n">
        <v>768</v>
      </c>
      <c r="C10" s="3" t="n">
        <v>21</v>
      </c>
      <c r="D10" s="3" t="n">
        <v>747</v>
      </c>
      <c r="E10" s="3" t="n">
        <v>186</v>
      </c>
      <c r="F10" s="3" t="n">
        <v>62</v>
      </c>
      <c r="G10" s="3" t="n">
        <v>124</v>
      </c>
      <c r="H10" s="3" t="n">
        <v>21</v>
      </c>
      <c r="I10" s="3" t="n">
        <v>747</v>
      </c>
    </row>
    <row r="11" customFormat="false" ht="14.65" hidden="false" customHeight="false" outlineLevel="0" collapsed="false">
      <c r="A11" s="4" t="s">
        <v>14</v>
      </c>
      <c r="B11" s="3" t="n">
        <v>101</v>
      </c>
      <c r="C11" s="3" t="n">
        <v>22</v>
      </c>
      <c r="D11" s="3" t="n">
        <v>79</v>
      </c>
      <c r="E11" s="3" t="n">
        <v>242</v>
      </c>
      <c r="F11" s="3" t="n">
        <v>168</v>
      </c>
      <c r="G11" s="3" t="n">
        <v>74</v>
      </c>
      <c r="H11" s="3" t="n">
        <v>22</v>
      </c>
      <c r="I11" s="3" t="n">
        <v>79</v>
      </c>
    </row>
    <row r="12" customFormat="false" ht="14.65" hidden="false" customHeight="false" outlineLevel="0" collapsed="false">
      <c r="A12" s="4" t="s">
        <v>15</v>
      </c>
      <c r="B12" s="3" t="n">
        <v>0</v>
      </c>
      <c r="C12" s="3" t="n">
        <v>0</v>
      </c>
      <c r="D12" s="3" t="n">
        <v>0</v>
      </c>
      <c r="E12" s="3" t="n">
        <v>41</v>
      </c>
      <c r="F12" s="3" t="n">
        <v>30</v>
      </c>
      <c r="G12" s="3" t="n">
        <v>11</v>
      </c>
      <c r="H12" s="3" t="n">
        <v>0</v>
      </c>
      <c r="I12" s="3" t="n">
        <v>0</v>
      </c>
    </row>
    <row r="13" customFormat="false" ht="14.65" hidden="false" customHeight="false" outlineLevel="0" collapsed="false">
      <c r="A13" s="5" t="s">
        <v>16</v>
      </c>
      <c r="B13" s="3" t="n">
        <v>0</v>
      </c>
      <c r="C13" s="3" t="n">
        <v>0</v>
      </c>
      <c r="D13" s="3" t="n">
        <v>0</v>
      </c>
      <c r="E13" s="3" t="n">
        <v>14</v>
      </c>
      <c r="F13" s="3" t="n">
        <v>10</v>
      </c>
      <c r="G13" s="3" t="n">
        <v>4</v>
      </c>
      <c r="H13" s="3" t="n">
        <v>0</v>
      </c>
      <c r="I13" s="3" t="n">
        <v>0</v>
      </c>
    </row>
    <row r="14" customFormat="false" ht="14.65" hidden="false" customHeight="false" outlineLevel="0" collapsed="false">
      <c r="A14" s="4" t="s">
        <v>17</v>
      </c>
      <c r="B14" s="3" t="n">
        <v>1019</v>
      </c>
      <c r="C14" s="3" t="n">
        <v>100</v>
      </c>
      <c r="D14" s="3" t="n">
        <v>919</v>
      </c>
      <c r="E14" s="3" t="n">
        <v>424</v>
      </c>
      <c r="F14" s="3" t="n">
        <v>205</v>
      </c>
      <c r="G14" s="3" t="n">
        <v>219</v>
      </c>
      <c r="H14" s="3" t="n">
        <v>100</v>
      </c>
      <c r="I14" s="3" t="n">
        <v>919</v>
      </c>
    </row>
    <row r="15" customFormat="false" ht="14.65" hidden="false" customHeight="false" outlineLevel="0" collapsed="false">
      <c r="A15" s="4" t="s">
        <v>18</v>
      </c>
      <c r="B15" s="3" t="n">
        <v>809</v>
      </c>
      <c r="C15" s="3" t="n">
        <v>115</v>
      </c>
      <c r="D15" s="3" t="n">
        <v>694</v>
      </c>
      <c r="E15" s="3" t="n">
        <v>434</v>
      </c>
      <c r="F15" s="3" t="n">
        <v>271</v>
      </c>
      <c r="G15" s="3" t="n">
        <v>163</v>
      </c>
      <c r="H15" s="3" t="n">
        <v>115</v>
      </c>
      <c r="I15" s="3" t="n">
        <v>694</v>
      </c>
    </row>
    <row r="16" customFormat="false" ht="14.65" hidden="false" customHeight="false" outlineLevel="0" collapsed="false">
      <c r="A16" s="4" t="s">
        <v>19</v>
      </c>
      <c r="B16" s="3" t="n">
        <v>0</v>
      </c>
      <c r="C16" s="3" t="n">
        <v>0</v>
      </c>
      <c r="D16" s="3" t="n">
        <v>0</v>
      </c>
      <c r="E16" s="3" t="n">
        <v>44</v>
      </c>
      <c r="F16" s="3" t="n">
        <v>38</v>
      </c>
      <c r="G16" s="3" t="n">
        <v>6</v>
      </c>
      <c r="H16" s="3" t="n">
        <v>0</v>
      </c>
      <c r="I16" s="3" t="n">
        <v>0</v>
      </c>
    </row>
    <row r="17" customFormat="false" ht="14.65" hidden="false" customHeight="false" outlineLevel="0" collapsed="false">
      <c r="A17" s="5" t="s">
        <v>21</v>
      </c>
      <c r="B17" s="3" t="n">
        <v>532</v>
      </c>
      <c r="C17" s="3" t="n">
        <v>0</v>
      </c>
      <c r="D17" s="3" t="n">
        <v>532</v>
      </c>
      <c r="E17" s="3" t="n">
        <v>79</v>
      </c>
      <c r="F17" s="3" t="n">
        <v>2</v>
      </c>
      <c r="G17" s="3" t="n">
        <v>77</v>
      </c>
      <c r="H17" s="3" t="n">
        <v>0</v>
      </c>
      <c r="I17" s="3" t="n">
        <v>532</v>
      </c>
    </row>
    <row r="18" customFormat="false" ht="14.65" hidden="false" customHeight="false" outlineLevel="0" collapsed="false">
      <c r="A18" s="4" t="s">
        <v>22</v>
      </c>
      <c r="B18" s="3" t="n">
        <v>1421</v>
      </c>
      <c r="C18" s="3" t="n">
        <v>28</v>
      </c>
      <c r="D18" s="3" t="n">
        <v>1393</v>
      </c>
      <c r="E18" s="3" t="n">
        <v>630</v>
      </c>
      <c r="F18" s="3" t="n">
        <v>311</v>
      </c>
      <c r="G18" s="3" t="n">
        <v>319</v>
      </c>
      <c r="H18" s="3" t="n">
        <v>28</v>
      </c>
      <c r="I18" s="3" t="n">
        <v>1393</v>
      </c>
    </row>
    <row r="19" customFormat="false" ht="14.65" hidden="false" customHeight="false" outlineLevel="0" collapsed="false">
      <c r="A19" s="4" t="s">
        <v>23</v>
      </c>
      <c r="B19" s="3" t="n">
        <v>825</v>
      </c>
      <c r="C19" s="3" t="n">
        <v>37</v>
      </c>
      <c r="D19" s="3" t="n">
        <v>788</v>
      </c>
      <c r="E19" s="3" t="n">
        <v>313</v>
      </c>
      <c r="F19" s="3" t="n">
        <v>127</v>
      </c>
      <c r="G19" s="3" t="n">
        <v>186</v>
      </c>
      <c r="H19" s="3" t="n">
        <v>37</v>
      </c>
      <c r="I19" s="3" t="n">
        <v>788</v>
      </c>
    </row>
    <row r="20" customFormat="false" ht="14.65" hidden="false" customHeight="false" outlineLevel="0" collapsed="false">
      <c r="A20" s="4" t="s">
        <v>24</v>
      </c>
      <c r="B20" s="3" t="n">
        <v>636</v>
      </c>
      <c r="C20" s="3" t="n">
        <v>30</v>
      </c>
      <c r="D20" s="3" t="n">
        <v>606</v>
      </c>
      <c r="E20" s="3" t="n">
        <v>147</v>
      </c>
      <c r="F20" s="3" t="n">
        <v>45</v>
      </c>
      <c r="G20" s="3" t="n">
        <v>102</v>
      </c>
      <c r="H20" s="3" t="n">
        <v>30</v>
      </c>
      <c r="I20" s="3" t="n">
        <v>606</v>
      </c>
    </row>
    <row r="21" customFormat="false" ht="14.65" hidden="false" customHeight="false" outlineLevel="0" collapsed="false">
      <c r="A21" s="5" t="s">
        <v>25</v>
      </c>
      <c r="B21" s="3" t="n">
        <v>698</v>
      </c>
      <c r="C21" s="3" t="n">
        <v>0</v>
      </c>
      <c r="D21" s="3" t="n">
        <v>698</v>
      </c>
      <c r="E21" s="3" t="n">
        <v>173</v>
      </c>
      <c r="F21" s="3" t="n">
        <v>73</v>
      </c>
      <c r="G21" s="3" t="n">
        <v>100</v>
      </c>
      <c r="H21" s="3" t="n">
        <v>0</v>
      </c>
      <c r="I21" s="3" t="n">
        <v>698</v>
      </c>
    </row>
    <row r="22" customFormat="false" ht="14.65" hidden="false" customHeight="false" outlineLevel="0" collapsed="false">
      <c r="A22" s="4" t="s">
        <v>26</v>
      </c>
      <c r="B22" s="3" t="n">
        <v>540</v>
      </c>
      <c r="C22" s="3" t="n">
        <v>27</v>
      </c>
      <c r="D22" s="3" t="n">
        <v>513</v>
      </c>
      <c r="E22" s="3" t="n">
        <v>221</v>
      </c>
      <c r="F22" s="3" t="n">
        <v>85</v>
      </c>
      <c r="G22" s="3" t="n">
        <v>136</v>
      </c>
      <c r="H22" s="3" t="n">
        <v>27</v>
      </c>
      <c r="I22" s="3" t="n">
        <v>513</v>
      </c>
    </row>
    <row r="23" customFormat="false" ht="14.65" hidden="false" customHeight="false" outlineLevel="0" collapsed="false">
      <c r="A23" s="4" t="s">
        <v>27</v>
      </c>
      <c r="B23" s="3" t="n">
        <v>608</v>
      </c>
      <c r="C23" s="3" t="n">
        <v>7</v>
      </c>
      <c r="D23" s="3" t="n">
        <v>601</v>
      </c>
      <c r="E23" s="3" t="n">
        <v>263</v>
      </c>
      <c r="F23" s="3" t="n">
        <v>87</v>
      </c>
      <c r="G23" s="3" t="n">
        <v>176</v>
      </c>
      <c r="H23" s="3" t="n">
        <v>7</v>
      </c>
      <c r="I23" s="3" t="n">
        <v>601</v>
      </c>
    </row>
    <row r="24" customFormat="false" ht="14.65" hidden="false" customHeight="false" outlineLevel="0" collapsed="false">
      <c r="A24" s="4" t="s">
        <v>28</v>
      </c>
      <c r="B24" s="3" t="n">
        <v>312</v>
      </c>
      <c r="C24" s="3" t="n">
        <v>13</v>
      </c>
      <c r="D24" s="3" t="n">
        <v>299</v>
      </c>
      <c r="E24" s="3" t="n">
        <v>54</v>
      </c>
      <c r="F24" s="3" t="n">
        <v>1</v>
      </c>
      <c r="G24" s="3" t="n">
        <v>53</v>
      </c>
      <c r="H24" s="3" t="n">
        <v>13</v>
      </c>
      <c r="I24" s="3" t="n">
        <v>299</v>
      </c>
    </row>
    <row r="25" customFormat="false" ht="14.65" hidden="false" customHeight="false" outlineLevel="0" collapsed="false">
      <c r="A25" s="5" t="s">
        <v>29</v>
      </c>
      <c r="B25" s="3" t="n">
        <v>227</v>
      </c>
      <c r="C25" s="3" t="n">
        <v>123</v>
      </c>
      <c r="D25" s="3" t="n">
        <v>104</v>
      </c>
      <c r="E25" s="3" t="n">
        <v>255</v>
      </c>
      <c r="F25" s="3" t="n">
        <v>187</v>
      </c>
      <c r="G25" s="3" t="n">
        <v>68</v>
      </c>
      <c r="H25" s="3" t="n">
        <v>123</v>
      </c>
      <c r="I25" s="3" t="n">
        <v>104</v>
      </c>
    </row>
    <row r="26" customFormat="false" ht="14.65" hidden="false" customHeight="false" outlineLevel="0" collapsed="false">
      <c r="A26" s="4" t="s">
        <v>30</v>
      </c>
      <c r="B26" s="3" t="n">
        <v>162</v>
      </c>
      <c r="C26" s="3" t="n">
        <v>59</v>
      </c>
      <c r="D26" s="3" t="n">
        <v>103</v>
      </c>
      <c r="E26" s="3" t="n">
        <v>403</v>
      </c>
      <c r="F26" s="3" t="n">
        <v>323</v>
      </c>
      <c r="G26" s="3" t="n">
        <v>80</v>
      </c>
      <c r="H26" s="3" t="n">
        <v>59</v>
      </c>
      <c r="I26" s="3" t="n">
        <v>103</v>
      </c>
    </row>
    <row r="27" customFormat="false" ht="14.65" hidden="false" customHeight="false" outlineLevel="0" collapsed="false">
      <c r="A27" s="4" t="s">
        <v>31</v>
      </c>
      <c r="B27" s="3" t="n">
        <v>741</v>
      </c>
      <c r="C27" s="3" t="n">
        <v>92</v>
      </c>
      <c r="D27" s="3" t="n">
        <v>649</v>
      </c>
      <c r="E27" s="3" t="n">
        <v>499</v>
      </c>
      <c r="F27" s="3" t="n">
        <v>301</v>
      </c>
      <c r="G27" s="3" t="n">
        <v>198</v>
      </c>
      <c r="H27" s="3" t="n">
        <v>92</v>
      </c>
      <c r="I27" s="3" t="n">
        <v>649</v>
      </c>
    </row>
    <row r="28" customFormat="false" ht="14.65" hidden="false" customHeight="false" outlineLevel="0" collapsed="false">
      <c r="A28" s="4" t="s">
        <v>32</v>
      </c>
      <c r="B28" s="3" t="n">
        <v>681</v>
      </c>
      <c r="C28" s="3" t="n">
        <v>20</v>
      </c>
      <c r="D28" s="3" t="n">
        <v>661</v>
      </c>
      <c r="E28" s="3" t="n">
        <v>233</v>
      </c>
      <c r="F28" s="3" t="n">
        <v>106</v>
      </c>
      <c r="G28" s="3" t="n">
        <v>127</v>
      </c>
      <c r="H28" s="3" t="n">
        <v>20</v>
      </c>
      <c r="I28" s="3" t="n">
        <v>661</v>
      </c>
    </row>
    <row r="29" customFormat="false" ht="14.65" hidden="false" customHeight="false" outlineLevel="0" collapsed="false">
      <c r="A29" s="5" t="s">
        <v>33</v>
      </c>
      <c r="B29" s="3" t="n">
        <v>558</v>
      </c>
      <c r="C29" s="3" t="n">
        <v>0</v>
      </c>
      <c r="D29" s="3" t="n">
        <v>558</v>
      </c>
      <c r="E29" s="3" t="n">
        <v>127</v>
      </c>
      <c r="F29" s="3" t="n">
        <v>0</v>
      </c>
      <c r="G29" s="3" t="n">
        <v>127</v>
      </c>
      <c r="H29" s="3" t="n">
        <v>0</v>
      </c>
      <c r="I29" s="3" t="n">
        <v>558</v>
      </c>
    </row>
    <row r="30" customFormat="false" ht="14.65" hidden="false" customHeight="false" outlineLevel="0" collapsed="false">
      <c r="A30" s="4" t="s">
        <v>34</v>
      </c>
      <c r="B30" s="3" t="n">
        <v>812</v>
      </c>
      <c r="C30" s="3" t="n">
        <v>5</v>
      </c>
      <c r="D30" s="3" t="n">
        <v>807</v>
      </c>
      <c r="E30" s="3" t="n">
        <v>366</v>
      </c>
      <c r="F30" s="3" t="n">
        <v>210</v>
      </c>
      <c r="G30" s="3" t="n">
        <v>156</v>
      </c>
      <c r="H30" s="3" t="n">
        <v>5</v>
      </c>
      <c r="I30" s="3" t="n">
        <v>807</v>
      </c>
    </row>
    <row r="31" customFormat="false" ht="14.65" hidden="false" customHeight="false" outlineLevel="0" collapsed="false">
      <c r="A31" s="4" t="s">
        <v>35</v>
      </c>
      <c r="B31" s="3" t="n">
        <v>1137</v>
      </c>
      <c r="C31" s="3" t="n">
        <v>0</v>
      </c>
      <c r="D31" s="3" t="n">
        <v>1137</v>
      </c>
      <c r="E31" s="3" t="n">
        <v>53</v>
      </c>
      <c r="F31" s="3" t="n">
        <v>0</v>
      </c>
      <c r="G31" s="3" t="n">
        <v>53</v>
      </c>
      <c r="H31" s="3" t="n">
        <v>0</v>
      </c>
      <c r="I31" s="3" t="n">
        <v>1137</v>
      </c>
    </row>
    <row r="32" customFormat="false" ht="14.65" hidden="false" customHeight="false" outlineLevel="0" collapsed="false">
      <c r="A32" s="4" t="s">
        <v>36</v>
      </c>
      <c r="B32" s="3" t="n">
        <v>437</v>
      </c>
      <c r="C32" s="3" t="n">
        <v>0</v>
      </c>
      <c r="D32" s="3" t="n">
        <v>437</v>
      </c>
      <c r="E32" s="3" t="n">
        <v>44</v>
      </c>
      <c r="F32" s="3" t="n">
        <v>11</v>
      </c>
      <c r="G32" s="3" t="n">
        <v>33</v>
      </c>
      <c r="H32" s="3" t="n">
        <v>0</v>
      </c>
      <c r="I32" s="3" t="n">
        <v>437</v>
      </c>
    </row>
    <row r="33" customFormat="false" ht="14.65" hidden="false" customHeight="false" outlineLevel="0" collapsed="false">
      <c r="A33" s="5" t="s">
        <v>37</v>
      </c>
      <c r="B33" s="3" t="n">
        <v>480</v>
      </c>
      <c r="C33" s="3" t="n">
        <v>0</v>
      </c>
      <c r="D33" s="3" t="n">
        <v>480</v>
      </c>
      <c r="E33" s="3" t="n">
        <v>65</v>
      </c>
      <c r="F33" s="3" t="n">
        <v>20</v>
      </c>
      <c r="G33" s="3" t="n">
        <v>45</v>
      </c>
      <c r="H33" s="3" t="n">
        <v>0</v>
      </c>
      <c r="I33" s="3" t="n">
        <v>480</v>
      </c>
    </row>
    <row r="34" customFormat="false" ht="14.65" hidden="false" customHeight="false" outlineLevel="0" collapsed="false">
      <c r="A34" s="4" t="s">
        <v>38</v>
      </c>
      <c r="B34" s="3" t="n">
        <v>176</v>
      </c>
      <c r="C34" s="3" t="n">
        <v>21</v>
      </c>
      <c r="D34" s="3" t="n">
        <v>155</v>
      </c>
      <c r="E34" s="3" t="n">
        <v>48</v>
      </c>
      <c r="F34" s="3" t="n">
        <v>13</v>
      </c>
      <c r="G34" s="3" t="n">
        <v>35</v>
      </c>
      <c r="H34" s="3" t="n">
        <v>21</v>
      </c>
      <c r="I34" s="3" t="n">
        <v>155</v>
      </c>
    </row>
    <row r="35" customFormat="false" ht="14.65" hidden="false" customHeight="false" outlineLevel="0" collapsed="false">
      <c r="A35" s="4" t="s">
        <v>39</v>
      </c>
      <c r="B35" s="3" t="n">
        <v>113</v>
      </c>
      <c r="C35" s="3" t="n">
        <v>56</v>
      </c>
      <c r="D35" s="3" t="n">
        <v>57</v>
      </c>
      <c r="E35" s="3" t="n">
        <v>300</v>
      </c>
      <c r="F35" s="3" t="n">
        <v>246</v>
      </c>
      <c r="G35" s="3" t="n">
        <v>54</v>
      </c>
      <c r="H35" s="3" t="n">
        <v>56</v>
      </c>
      <c r="I35" s="3" t="n">
        <v>57</v>
      </c>
    </row>
    <row r="36" customFormat="false" ht="14.65" hidden="false" customHeight="false" outlineLevel="0" collapsed="false">
      <c r="A36" s="4" t="s">
        <v>40</v>
      </c>
      <c r="B36" s="3" t="n">
        <v>907</v>
      </c>
      <c r="C36" s="3" t="n">
        <v>10</v>
      </c>
      <c r="D36" s="3" t="n">
        <v>897</v>
      </c>
      <c r="E36" s="3" t="n">
        <v>91</v>
      </c>
      <c r="F36" s="3" t="n">
        <v>26</v>
      </c>
      <c r="G36" s="3" t="n">
        <v>65</v>
      </c>
      <c r="H36" s="3" t="n">
        <v>10</v>
      </c>
      <c r="I36" s="3" t="n">
        <v>897</v>
      </c>
    </row>
    <row r="37" customFormat="false" ht="14.65" hidden="false" customHeight="false" outlineLevel="0" collapsed="false">
      <c r="A37" s="5" t="s">
        <v>41</v>
      </c>
      <c r="B37" s="3" t="n">
        <v>797</v>
      </c>
      <c r="C37" s="3" t="n">
        <v>52</v>
      </c>
      <c r="D37" s="3" t="n">
        <v>745</v>
      </c>
      <c r="E37" s="3" t="n">
        <v>703</v>
      </c>
      <c r="F37" s="3" t="n">
        <v>385</v>
      </c>
      <c r="G37" s="3" t="n">
        <v>318</v>
      </c>
      <c r="H37" s="3" t="n">
        <v>52</v>
      </c>
      <c r="I37" s="3" t="n">
        <v>745</v>
      </c>
    </row>
    <row r="38" customFormat="false" ht="14.65" hidden="false" customHeight="false" outlineLevel="0" collapsed="false">
      <c r="A38" s="4" t="s">
        <v>42</v>
      </c>
      <c r="B38" s="3" t="n">
        <v>633</v>
      </c>
      <c r="C38" s="3" t="n">
        <v>18</v>
      </c>
      <c r="D38" s="3" t="n">
        <v>615</v>
      </c>
      <c r="E38" s="3" t="n">
        <v>337</v>
      </c>
      <c r="F38" s="3" t="n">
        <v>87</v>
      </c>
      <c r="G38" s="3" t="n">
        <v>250</v>
      </c>
      <c r="H38" s="3" t="n">
        <v>18</v>
      </c>
      <c r="I38" s="3" t="n">
        <v>615</v>
      </c>
    </row>
    <row r="39" customFormat="false" ht="14.65" hidden="false" customHeight="false" outlineLevel="0" collapsed="false">
      <c r="A39" s="4" t="s">
        <v>43</v>
      </c>
      <c r="B39" s="3" t="n">
        <v>531</v>
      </c>
      <c r="C39" s="3" t="n">
        <v>0</v>
      </c>
      <c r="D39" s="3" t="n">
        <v>531</v>
      </c>
      <c r="E39" s="3" t="n">
        <v>40</v>
      </c>
      <c r="F39" s="3" t="n">
        <v>3</v>
      </c>
      <c r="G39" s="3" t="n">
        <v>37</v>
      </c>
      <c r="H39" s="3" t="n">
        <v>0</v>
      </c>
      <c r="I39" s="3" t="n">
        <v>531</v>
      </c>
    </row>
    <row r="40" customFormat="false" ht="14.65" hidden="false" customHeight="false" outlineLevel="0" collapsed="false">
      <c r="A40" s="4" t="s">
        <v>44</v>
      </c>
      <c r="B40" s="3" t="n">
        <v>847</v>
      </c>
      <c r="C40" s="3" t="n">
        <v>15</v>
      </c>
      <c r="D40" s="3" t="n">
        <v>832</v>
      </c>
      <c r="E40" s="3" t="n">
        <v>726</v>
      </c>
      <c r="F40" s="3" t="n">
        <v>212</v>
      </c>
      <c r="G40" s="3" t="n">
        <v>514</v>
      </c>
      <c r="H40" s="3" t="n">
        <v>15</v>
      </c>
      <c r="I40" s="3" t="n">
        <v>832</v>
      </c>
    </row>
    <row r="41" customFormat="false" ht="14.65" hidden="false" customHeight="false" outlineLevel="0" collapsed="false">
      <c r="A41" s="5" t="s">
        <v>45</v>
      </c>
      <c r="B41" s="3" t="n">
        <v>715</v>
      </c>
      <c r="C41" s="3" t="n">
        <v>0</v>
      </c>
      <c r="D41" s="3" t="n">
        <v>715</v>
      </c>
      <c r="E41" s="3" t="n">
        <v>214</v>
      </c>
      <c r="F41" s="3" t="n">
        <v>72</v>
      </c>
      <c r="G41" s="3" t="n">
        <v>142</v>
      </c>
      <c r="H41" s="3" t="n">
        <v>0</v>
      </c>
      <c r="I41" s="3" t="n">
        <v>715</v>
      </c>
    </row>
    <row r="42" customFormat="false" ht="14.65" hidden="false" customHeight="false" outlineLevel="0" collapsed="false">
      <c r="A42" s="4" t="s">
        <v>46</v>
      </c>
      <c r="B42" s="3" t="n">
        <v>581</v>
      </c>
      <c r="C42" s="3" t="n">
        <v>21</v>
      </c>
      <c r="D42" s="3" t="n">
        <v>560</v>
      </c>
      <c r="E42" s="3" t="n">
        <v>146</v>
      </c>
      <c r="F42" s="3" t="n">
        <v>58</v>
      </c>
      <c r="G42" s="3" t="n">
        <v>88</v>
      </c>
      <c r="H42" s="3" t="n">
        <v>21</v>
      </c>
      <c r="I42" s="3" t="n">
        <v>560</v>
      </c>
    </row>
    <row r="43" customFormat="false" ht="14.65" hidden="false" customHeight="false" outlineLevel="0" collapsed="false">
      <c r="A43" s="4" t="s">
        <v>47</v>
      </c>
      <c r="B43" s="3" t="n">
        <v>1079</v>
      </c>
      <c r="C43" s="3" t="n">
        <v>18</v>
      </c>
      <c r="D43" s="3" t="n">
        <v>1061</v>
      </c>
      <c r="E43" s="3" t="n">
        <v>509</v>
      </c>
      <c r="F43" s="3" t="n">
        <v>111</v>
      </c>
      <c r="G43" s="3" t="n">
        <v>398</v>
      </c>
      <c r="H43" s="3" t="n">
        <v>18</v>
      </c>
      <c r="I43" s="3" t="n">
        <v>1061</v>
      </c>
    </row>
    <row r="44" customFormat="false" ht="14.65" hidden="false" customHeight="false" outlineLevel="0" collapsed="false">
      <c r="A44" s="4" t="s">
        <v>48</v>
      </c>
      <c r="B44" s="3" t="n">
        <v>21</v>
      </c>
      <c r="C44" s="3" t="n">
        <v>0</v>
      </c>
      <c r="D44" s="3" t="n">
        <v>21</v>
      </c>
      <c r="E44" s="3" t="n">
        <v>49</v>
      </c>
      <c r="F44" s="3" t="n">
        <v>33</v>
      </c>
      <c r="G44" s="3" t="n">
        <v>16</v>
      </c>
      <c r="H44" s="3" t="n">
        <v>0</v>
      </c>
      <c r="I44" s="3" t="n">
        <v>21</v>
      </c>
    </row>
    <row r="45" customFormat="false" ht="14.65" hidden="false" customHeight="false" outlineLevel="0" collapsed="false">
      <c r="A45" s="5" t="s">
        <v>49</v>
      </c>
      <c r="B45" s="3" t="n">
        <v>668</v>
      </c>
      <c r="C45" s="3" t="n">
        <v>16</v>
      </c>
      <c r="D45" s="3" t="n">
        <v>652</v>
      </c>
      <c r="E45" s="3" t="n">
        <v>142</v>
      </c>
      <c r="F45" s="3" t="n">
        <v>51</v>
      </c>
      <c r="G45" s="3" t="n">
        <v>91</v>
      </c>
      <c r="H45" s="3" t="n">
        <v>16</v>
      </c>
      <c r="I45" s="3" t="n">
        <v>652</v>
      </c>
    </row>
    <row r="46" customFormat="false" ht="14.65" hidden="false" customHeight="false" outlineLevel="0" collapsed="false">
      <c r="A46" s="4" t="s">
        <v>50</v>
      </c>
      <c r="B46" s="3" t="n">
        <v>631</v>
      </c>
      <c r="C46" s="3" t="n">
        <v>0</v>
      </c>
      <c r="D46" s="3" t="n">
        <v>631</v>
      </c>
      <c r="E46" s="3" t="n">
        <v>47</v>
      </c>
      <c r="F46" s="3" t="n">
        <v>0</v>
      </c>
      <c r="G46" s="3" t="n">
        <v>47</v>
      </c>
      <c r="H46" s="3" t="n">
        <v>0</v>
      </c>
      <c r="I46" s="3" t="n">
        <v>631</v>
      </c>
    </row>
    <row r="47" customFormat="false" ht="14.65" hidden="false" customHeight="false" outlineLevel="0" collapsed="false">
      <c r="A47" s="4" t="s">
        <v>51</v>
      </c>
      <c r="B47" s="3" t="n">
        <v>740</v>
      </c>
      <c r="C47" s="3" t="n">
        <v>25</v>
      </c>
      <c r="D47" s="3" t="n">
        <v>715</v>
      </c>
      <c r="E47" s="3" t="n">
        <v>322</v>
      </c>
      <c r="F47" s="3" t="n">
        <v>141</v>
      </c>
      <c r="G47" s="3" t="n">
        <v>181</v>
      </c>
      <c r="H47" s="3" t="n">
        <v>25</v>
      </c>
      <c r="I47" s="3" t="n">
        <v>715</v>
      </c>
    </row>
    <row r="48" customFormat="false" ht="14.65" hidden="false" customHeight="false" outlineLevel="0" collapsed="false">
      <c r="A48" s="4" t="s">
        <v>52</v>
      </c>
      <c r="B48" s="3" t="n">
        <v>2203</v>
      </c>
      <c r="C48" s="3" t="n">
        <v>45</v>
      </c>
      <c r="D48" s="3" t="n">
        <v>2158</v>
      </c>
      <c r="E48" s="3" t="n">
        <v>1031</v>
      </c>
      <c r="F48" s="3" t="n">
        <v>555</v>
      </c>
      <c r="G48" s="3" t="n">
        <v>476</v>
      </c>
      <c r="H48" s="3" t="n">
        <v>45</v>
      </c>
      <c r="I48" s="3" t="n">
        <v>2158</v>
      </c>
    </row>
    <row r="49" customFormat="false" ht="14.65" hidden="false" customHeight="false" outlineLevel="0" collapsed="false">
      <c r="A49" s="5" t="s">
        <v>53</v>
      </c>
      <c r="B49" s="3" t="n">
        <v>769</v>
      </c>
      <c r="C49" s="3" t="n">
        <v>17</v>
      </c>
      <c r="D49" s="3" t="n">
        <v>752</v>
      </c>
      <c r="E49" s="3" t="n">
        <v>168</v>
      </c>
      <c r="F49" s="3" t="n">
        <v>111</v>
      </c>
      <c r="G49" s="3" t="n">
        <v>57</v>
      </c>
      <c r="H49" s="3" t="n">
        <v>17</v>
      </c>
      <c r="I49" s="3" t="n">
        <v>752</v>
      </c>
    </row>
    <row r="50" customFormat="false" ht="14.65" hidden="false" customHeight="false" outlineLevel="0" collapsed="false">
      <c r="A50" s="4" t="s">
        <v>54</v>
      </c>
      <c r="B50" s="3" t="n">
        <v>280</v>
      </c>
      <c r="C50" s="3" t="n">
        <v>0</v>
      </c>
      <c r="D50" s="3" t="n">
        <v>280</v>
      </c>
      <c r="E50" s="3" t="n">
        <v>40</v>
      </c>
      <c r="F50" s="3" t="n">
        <v>0</v>
      </c>
      <c r="G50" s="3" t="n">
        <v>40</v>
      </c>
      <c r="H50" s="3" t="n">
        <v>0</v>
      </c>
      <c r="I50" s="3" t="n">
        <v>280</v>
      </c>
    </row>
    <row r="51" customFormat="false" ht="14.65" hidden="false" customHeight="false" outlineLevel="0" collapsed="false">
      <c r="A51" s="4" t="s">
        <v>55</v>
      </c>
      <c r="B51" s="3" t="n">
        <v>788</v>
      </c>
      <c r="C51" s="3" t="n">
        <v>118</v>
      </c>
      <c r="D51" s="3" t="n">
        <v>670</v>
      </c>
      <c r="E51" s="3" t="n">
        <v>318</v>
      </c>
      <c r="F51" s="3" t="n">
        <v>138</v>
      </c>
      <c r="G51" s="3" t="n">
        <v>180</v>
      </c>
      <c r="H51" s="3" t="n">
        <v>118</v>
      </c>
      <c r="I51" s="3" t="n">
        <v>670</v>
      </c>
    </row>
    <row r="52" customFormat="false" ht="14.65" hidden="false" customHeight="false" outlineLevel="0" collapsed="false">
      <c r="A52" s="4" t="s">
        <v>56</v>
      </c>
      <c r="B52" s="3" t="n">
        <v>501</v>
      </c>
      <c r="C52" s="3" t="n">
        <v>96</v>
      </c>
      <c r="D52" s="3" t="n">
        <v>405</v>
      </c>
      <c r="E52" s="3" t="n">
        <v>262</v>
      </c>
      <c r="F52" s="3" t="n">
        <v>158</v>
      </c>
      <c r="G52" s="3" t="n">
        <v>104</v>
      </c>
      <c r="H52" s="3" t="n">
        <v>96</v>
      </c>
      <c r="I52" s="3" t="n">
        <v>405</v>
      </c>
    </row>
    <row r="53" customFormat="false" ht="14.65" hidden="false" customHeight="false" outlineLevel="0" collapsed="false">
      <c r="A53" s="5" t="s">
        <v>57</v>
      </c>
      <c r="B53" s="3" t="n">
        <v>456</v>
      </c>
      <c r="C53" s="3" t="n">
        <v>23</v>
      </c>
      <c r="D53" s="3" t="n">
        <v>433</v>
      </c>
      <c r="E53" s="3" t="n">
        <v>94</v>
      </c>
      <c r="F53" s="3" t="n">
        <v>9</v>
      </c>
      <c r="G53" s="3" t="n">
        <v>85</v>
      </c>
      <c r="H53" s="3" t="n">
        <v>23</v>
      </c>
      <c r="I53" s="3" t="n">
        <v>433</v>
      </c>
    </row>
    <row r="54" customFormat="false" ht="14.65" hidden="false" customHeight="false" outlineLevel="0" collapsed="false">
      <c r="A54" s="4" t="s">
        <v>58</v>
      </c>
      <c r="B54" s="3" t="n">
        <v>495</v>
      </c>
      <c r="C54" s="3" t="n">
        <v>50</v>
      </c>
      <c r="D54" s="3" t="n">
        <v>445</v>
      </c>
      <c r="E54" s="3" t="n">
        <v>143</v>
      </c>
      <c r="F54" s="3" t="n">
        <v>56</v>
      </c>
      <c r="G54" s="3" t="n">
        <v>87</v>
      </c>
      <c r="H54" s="3" t="n">
        <v>50</v>
      </c>
      <c r="I54" s="3" t="n">
        <v>445</v>
      </c>
    </row>
    <row r="55" customFormat="false" ht="14.65" hidden="false" customHeight="false" outlineLevel="0" collapsed="false">
      <c r="A55" s="4" t="s">
        <v>59</v>
      </c>
      <c r="B55" s="3" t="n">
        <v>827</v>
      </c>
      <c r="C55" s="3" t="n">
        <v>0</v>
      </c>
      <c r="D55" s="3" t="n">
        <v>827</v>
      </c>
      <c r="E55" s="3" t="n">
        <v>87</v>
      </c>
      <c r="F55" s="3" t="n">
        <v>0</v>
      </c>
      <c r="G55" s="3" t="n">
        <v>87</v>
      </c>
      <c r="H55" s="3" t="n">
        <v>0</v>
      </c>
      <c r="I55" s="3" t="n">
        <v>827</v>
      </c>
    </row>
    <row r="56" customFormat="false" ht="14.65" hidden="false" customHeight="false" outlineLevel="0" collapsed="false">
      <c r="A56" s="5" t="s">
        <v>60</v>
      </c>
    </row>
    <row r="57" customFormat="false" ht="14.65" hidden="false" customHeight="false" outlineLevel="0" collapsed="false">
      <c r="A57" s="6" t="s">
        <v>61</v>
      </c>
      <c r="B57" s="3" t="n">
        <v>32622</v>
      </c>
      <c r="C57" s="3" t="n">
        <v>1589</v>
      </c>
      <c r="D57" s="3" t="n">
        <v>31033</v>
      </c>
      <c r="E57" s="3" t="n">
        <v>12878</v>
      </c>
      <c r="F57" s="3" t="n">
        <v>6230</v>
      </c>
      <c r="G57" s="3" t="n">
        <v>6648</v>
      </c>
      <c r="H57" s="3" t="n">
        <v>1589</v>
      </c>
      <c r="I57" s="3" t="n">
        <v>31033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:I57 A4:I57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9" t="s">
        <v>108</v>
      </c>
      <c r="B1" s="3" t="s">
        <v>284</v>
      </c>
    </row>
    <row r="2" customFormat="false" ht="14.65" hidden="false" customHeight="false" outlineLevel="0" collapsed="false">
      <c r="A2" s="1"/>
      <c r="B2" s="3" t="s">
        <v>277</v>
      </c>
      <c r="C2" s="3" t="s">
        <v>277</v>
      </c>
      <c r="D2" s="3" t="s">
        <v>285</v>
      </c>
      <c r="E2" s="3" t="s">
        <v>235</v>
      </c>
      <c r="F2" s="3" t="s">
        <v>286</v>
      </c>
      <c r="G2" s="3" t="s">
        <v>235</v>
      </c>
      <c r="H2" s="3" t="s">
        <v>235</v>
      </c>
    </row>
    <row r="3" customFormat="false" ht="14.65" hidden="false" customHeight="false" outlineLevel="0" collapsed="false">
      <c r="A3" s="17"/>
      <c r="B3" s="3" t="s">
        <v>236</v>
      </c>
      <c r="C3" s="3" t="s">
        <v>237</v>
      </c>
      <c r="D3" s="3" t="s">
        <v>238</v>
      </c>
      <c r="E3" s="3" t="s">
        <v>236</v>
      </c>
      <c r="F3" s="3" t="s">
        <v>287</v>
      </c>
      <c r="G3" s="3" t="s">
        <v>237</v>
      </c>
      <c r="H3" s="3" t="s">
        <v>238</v>
      </c>
    </row>
    <row r="4" customFormat="false" ht="14.65" hidden="false" customHeight="false" outlineLevel="0" collapsed="false">
      <c r="A4" s="1"/>
      <c r="B4" s="3" t="s">
        <v>188</v>
      </c>
      <c r="C4" s="3" t="s">
        <v>189</v>
      </c>
      <c r="D4" s="3" t="s">
        <v>190</v>
      </c>
      <c r="E4" s="3" t="s">
        <v>191</v>
      </c>
      <c r="F4" s="3" t="s">
        <v>192</v>
      </c>
      <c r="G4" s="3" t="s">
        <v>193</v>
      </c>
      <c r="H4" s="3" t="s">
        <v>194</v>
      </c>
      <c r="I4" s="3" t="s">
        <v>195</v>
      </c>
    </row>
    <row r="5" customFormat="false" ht="14.65" hidden="false" customHeight="false" outlineLevel="0" collapsed="false">
      <c r="A5" s="4" t="s">
        <v>8</v>
      </c>
      <c r="B5" s="3" t="n">
        <v>602</v>
      </c>
      <c r="C5" s="3" t="n">
        <f aca="false">+D5-B5</f>
        <v>72226</v>
      </c>
      <c r="D5" s="3" t="n">
        <v>72828</v>
      </c>
      <c r="E5" s="3" t="n">
        <v>297</v>
      </c>
      <c r="F5" s="3" t="n">
        <v>21</v>
      </c>
      <c r="G5" s="3" t="n">
        <f aca="false">+H5-E5-F5</f>
        <v>19063</v>
      </c>
      <c r="H5" s="3" t="n">
        <v>19381</v>
      </c>
      <c r="I5" s="3" t="n">
        <f aca="false">D5+H5</f>
        <v>92209</v>
      </c>
    </row>
    <row r="6" customFormat="false" ht="14.65" hidden="false" customHeight="false" outlineLevel="0" collapsed="false">
      <c r="A6" s="4" t="s">
        <v>9</v>
      </c>
      <c r="B6" s="3" t="n">
        <v>1003</v>
      </c>
      <c r="C6" s="3" t="n">
        <f aca="false">+D6-B6</f>
        <v>11104</v>
      </c>
      <c r="D6" s="3" t="n">
        <v>12107</v>
      </c>
      <c r="E6" s="3" t="n">
        <v>54</v>
      </c>
      <c r="F6" s="3" t="n">
        <v>0</v>
      </c>
      <c r="G6" s="3" t="n">
        <f aca="false">+H6-E6-F6</f>
        <v>1688</v>
      </c>
      <c r="H6" s="3" t="n">
        <v>1742</v>
      </c>
      <c r="I6" s="3" t="n">
        <f aca="false">D6+H6</f>
        <v>13849</v>
      </c>
    </row>
    <row r="7" customFormat="false" ht="14.65" hidden="false" customHeight="false" outlineLevel="0" collapsed="false">
      <c r="A7" s="4" t="s">
        <v>10</v>
      </c>
      <c r="B7" s="3" t="n">
        <v>987</v>
      </c>
      <c r="C7" s="3" t="n">
        <f aca="false">+D7-B7</f>
        <v>38436</v>
      </c>
      <c r="D7" s="3" t="n">
        <v>39423</v>
      </c>
      <c r="E7" s="3" t="n">
        <v>202</v>
      </c>
      <c r="F7" s="3" t="n">
        <v>70</v>
      </c>
      <c r="G7" s="3" t="n">
        <f aca="false">+H7-E7-F7</f>
        <v>16068</v>
      </c>
      <c r="H7" s="3" t="n">
        <v>16340</v>
      </c>
      <c r="I7" s="3" t="n">
        <f aca="false">D7+H7</f>
        <v>55763</v>
      </c>
    </row>
    <row r="8" customFormat="false" ht="14.65" hidden="false" customHeight="false" outlineLevel="0" collapsed="false">
      <c r="A8" s="4" t="s">
        <v>11</v>
      </c>
      <c r="B8" s="3" t="n">
        <v>412</v>
      </c>
      <c r="C8" s="3" t="n">
        <f aca="false">+D8-B8</f>
        <v>69185</v>
      </c>
      <c r="D8" s="3" t="n">
        <v>69597</v>
      </c>
      <c r="E8" s="3" t="n">
        <v>131</v>
      </c>
      <c r="F8" s="3" t="n">
        <v>94</v>
      </c>
      <c r="G8" s="3" t="n">
        <f aca="false">+H8-E8-F8</f>
        <v>7370</v>
      </c>
      <c r="H8" s="3" t="n">
        <v>7595</v>
      </c>
      <c r="I8" s="3" t="n">
        <f aca="false">D8+H8</f>
        <v>77192</v>
      </c>
    </row>
    <row r="9" customFormat="false" ht="14.65" hidden="false" customHeight="false" outlineLevel="0" collapsed="false">
      <c r="A9" s="5" t="s">
        <v>12</v>
      </c>
      <c r="B9" s="3" t="n">
        <v>1356</v>
      </c>
      <c r="C9" s="3" t="n">
        <f aca="false">+D9-B9</f>
        <v>86784</v>
      </c>
      <c r="D9" s="3" t="n">
        <v>88140</v>
      </c>
      <c r="E9" s="3" t="n">
        <v>1067</v>
      </c>
      <c r="F9" s="3" t="n">
        <v>1393</v>
      </c>
      <c r="G9" s="3" t="n">
        <f aca="false">+H9-E9-F9</f>
        <v>78601</v>
      </c>
      <c r="H9" s="3" t="n">
        <v>81061</v>
      </c>
      <c r="I9" s="3" t="n">
        <f aca="false">D9+H9</f>
        <v>169201</v>
      </c>
    </row>
    <row r="10" customFormat="false" ht="14.65" hidden="false" customHeight="false" outlineLevel="0" collapsed="false">
      <c r="A10" s="4" t="s">
        <v>13</v>
      </c>
      <c r="B10" s="3" t="n">
        <v>768</v>
      </c>
      <c r="C10" s="3" t="n">
        <f aca="false">+D10-B10</f>
        <v>65050</v>
      </c>
      <c r="D10" s="3" t="n">
        <v>65818</v>
      </c>
      <c r="E10" s="3" t="n">
        <v>186</v>
      </c>
      <c r="F10" s="3" t="n">
        <v>216</v>
      </c>
      <c r="G10" s="3" t="n">
        <f aca="false">+H10-E10-F10</f>
        <v>12501</v>
      </c>
      <c r="H10" s="3" t="n">
        <v>12903</v>
      </c>
      <c r="I10" s="3" t="n">
        <f aca="false">D10+H10</f>
        <v>78721</v>
      </c>
    </row>
    <row r="11" customFormat="false" ht="14.65" hidden="false" customHeight="false" outlineLevel="0" collapsed="false">
      <c r="A11" s="4" t="s">
        <v>14</v>
      </c>
      <c r="B11" s="3" t="n">
        <v>101</v>
      </c>
      <c r="C11" s="3" t="n">
        <f aca="false">+D11-B11</f>
        <v>8713</v>
      </c>
      <c r="D11" s="3" t="n">
        <v>8814</v>
      </c>
      <c r="E11" s="3" t="n">
        <v>242</v>
      </c>
      <c r="F11" s="3" t="n">
        <v>197</v>
      </c>
      <c r="G11" s="3" t="n">
        <f aca="false">+H11-E11-F11</f>
        <v>11104</v>
      </c>
      <c r="H11" s="3" t="n">
        <v>11543</v>
      </c>
      <c r="I11" s="3" t="n">
        <f aca="false">D11+H11</f>
        <v>20357</v>
      </c>
    </row>
    <row r="12" customFormat="false" ht="14.65" hidden="false" customHeight="false" outlineLevel="0" collapsed="false">
      <c r="A12" s="4" t="s">
        <v>15</v>
      </c>
      <c r="B12" s="3" t="n">
        <v>0</v>
      </c>
      <c r="C12" s="3" t="n">
        <f aca="false">+D12-B12</f>
        <v>3675</v>
      </c>
      <c r="D12" s="3" t="n">
        <v>3675</v>
      </c>
      <c r="E12" s="3" t="n">
        <v>41</v>
      </c>
      <c r="F12" s="3" t="n">
        <v>9</v>
      </c>
      <c r="G12" s="3" t="n">
        <f aca="false">+H12-E12-F12</f>
        <v>1819</v>
      </c>
      <c r="H12" s="3" t="n">
        <v>1869</v>
      </c>
      <c r="I12" s="3" t="n">
        <f aca="false">D12+H12</f>
        <v>5544</v>
      </c>
    </row>
    <row r="13" customFormat="false" ht="14.65" hidden="false" customHeight="false" outlineLevel="0" collapsed="false">
      <c r="A13" s="5" t="s">
        <v>16</v>
      </c>
      <c r="B13" s="3" t="n">
        <v>0</v>
      </c>
      <c r="C13" s="3" t="n">
        <f aca="false">+D13-B13</f>
        <v>0</v>
      </c>
      <c r="D13" s="3" t="n">
        <v>0</v>
      </c>
      <c r="E13" s="3" t="n">
        <v>14</v>
      </c>
      <c r="F13" s="3" t="n">
        <v>19</v>
      </c>
      <c r="G13" s="3" t="n">
        <f aca="false">+H13-E13-F13</f>
        <v>1074</v>
      </c>
      <c r="H13" s="3" t="n">
        <v>1107</v>
      </c>
      <c r="I13" s="3" t="n">
        <f aca="false">D13+H13</f>
        <v>1107</v>
      </c>
    </row>
    <row r="14" customFormat="false" ht="14.65" hidden="false" customHeight="false" outlineLevel="0" collapsed="false">
      <c r="A14" s="4" t="s">
        <v>17</v>
      </c>
      <c r="B14" s="3" t="n">
        <v>1019</v>
      </c>
      <c r="C14" s="3" t="n">
        <f aca="false">+D14-B14</f>
        <v>62611</v>
      </c>
      <c r="D14" s="3" t="n">
        <v>63630</v>
      </c>
      <c r="E14" s="3" t="n">
        <v>424</v>
      </c>
      <c r="F14" s="3" t="n">
        <v>284</v>
      </c>
      <c r="G14" s="3" t="n">
        <f aca="false">+H14-E14-F14</f>
        <v>48470</v>
      </c>
      <c r="H14" s="3" t="n">
        <v>49178</v>
      </c>
      <c r="I14" s="3" t="n">
        <f aca="false">D14+H14</f>
        <v>112808</v>
      </c>
    </row>
    <row r="15" customFormat="false" ht="14.65" hidden="false" customHeight="false" outlineLevel="0" collapsed="false">
      <c r="A15" s="4" t="s">
        <v>18</v>
      </c>
      <c r="B15" s="3" t="n">
        <v>809</v>
      </c>
      <c r="C15" s="3" t="n">
        <f aca="false">+D15-B15</f>
        <v>83796</v>
      </c>
      <c r="D15" s="3" t="n">
        <v>84605</v>
      </c>
      <c r="E15" s="3" t="n">
        <v>434</v>
      </c>
      <c r="F15" s="3" t="n">
        <v>167</v>
      </c>
      <c r="G15" s="3" t="n">
        <f aca="false">+H15-E15-F15</f>
        <v>25673</v>
      </c>
      <c r="H15" s="3" t="n">
        <v>26274</v>
      </c>
      <c r="I15" s="3" t="n">
        <f aca="false">D15+H15</f>
        <v>110879</v>
      </c>
    </row>
    <row r="16" customFormat="false" ht="14.65" hidden="false" customHeight="false" outlineLevel="0" collapsed="false">
      <c r="A16" s="4" t="s">
        <v>19</v>
      </c>
      <c r="B16" s="3" t="n">
        <v>0</v>
      </c>
      <c r="C16" s="3" t="n">
        <f aca="false">+D16-B16</f>
        <v>2307</v>
      </c>
      <c r="D16" s="3" t="n">
        <v>2307</v>
      </c>
      <c r="E16" s="3" t="n">
        <v>44</v>
      </c>
      <c r="F16" s="3" t="n">
        <v>53</v>
      </c>
      <c r="G16" s="3" t="n">
        <f aca="false">+H16-E16-F16</f>
        <v>1702</v>
      </c>
      <c r="H16" s="3" t="n">
        <v>1799</v>
      </c>
      <c r="I16" s="3" t="n">
        <f aca="false">D16+H16</f>
        <v>4106</v>
      </c>
    </row>
    <row r="17" customFormat="false" ht="14.65" hidden="false" customHeight="false" outlineLevel="0" collapsed="false">
      <c r="A17" s="5" t="s">
        <v>21</v>
      </c>
      <c r="B17" s="3" t="n">
        <v>532</v>
      </c>
      <c r="C17" s="3" t="n">
        <f aca="false">+D17-B17</f>
        <v>54887</v>
      </c>
      <c r="D17" s="3" t="n">
        <v>55419</v>
      </c>
      <c r="E17" s="3" t="n">
        <v>79</v>
      </c>
      <c r="F17" s="3" t="n">
        <v>0</v>
      </c>
      <c r="G17" s="3" t="n">
        <f aca="false">+H17-E17-F17</f>
        <v>3337</v>
      </c>
      <c r="H17" s="3" t="n">
        <v>3416</v>
      </c>
      <c r="I17" s="3" t="n">
        <f aca="false">D17+H17</f>
        <v>58835</v>
      </c>
    </row>
    <row r="18" customFormat="false" ht="14.65" hidden="false" customHeight="false" outlineLevel="0" collapsed="false">
      <c r="A18" s="4" t="s">
        <v>22</v>
      </c>
      <c r="B18" s="3" t="n">
        <v>1421</v>
      </c>
      <c r="C18" s="3" t="n">
        <f aca="false">+D18-B18</f>
        <v>100363</v>
      </c>
      <c r="D18" s="3" t="n">
        <v>101784</v>
      </c>
      <c r="E18" s="3" t="n">
        <v>630</v>
      </c>
      <c r="F18" s="3" t="n">
        <v>80</v>
      </c>
      <c r="G18" s="3" t="n">
        <f aca="false">+H18-E18-F18</f>
        <v>34471</v>
      </c>
      <c r="H18" s="3" t="n">
        <v>35181</v>
      </c>
      <c r="I18" s="3" t="n">
        <f aca="false">D18+H18</f>
        <v>136965</v>
      </c>
    </row>
    <row r="19" customFormat="false" ht="14.65" hidden="false" customHeight="false" outlineLevel="0" collapsed="false">
      <c r="A19" s="4" t="s">
        <v>23</v>
      </c>
      <c r="B19" s="3" t="n">
        <v>825</v>
      </c>
      <c r="C19" s="3" t="n">
        <f aca="false">+D19-B19</f>
        <v>72287</v>
      </c>
      <c r="D19" s="3" t="n">
        <v>73112</v>
      </c>
      <c r="E19" s="3" t="n">
        <v>313</v>
      </c>
      <c r="F19" s="3" t="n">
        <v>135</v>
      </c>
      <c r="G19" s="3" t="n">
        <f aca="false">+H19-E19-F19</f>
        <v>18814</v>
      </c>
      <c r="H19" s="3" t="n">
        <v>19262</v>
      </c>
      <c r="I19" s="3" t="n">
        <f aca="false">D19+H19</f>
        <v>92374</v>
      </c>
    </row>
    <row r="20" customFormat="false" ht="14.65" hidden="false" customHeight="false" outlineLevel="0" collapsed="false">
      <c r="A20" s="4" t="s">
        <v>24</v>
      </c>
      <c r="B20" s="3" t="n">
        <v>636</v>
      </c>
      <c r="C20" s="3" t="n">
        <f aca="false">+D20-B20</f>
        <v>102854</v>
      </c>
      <c r="D20" s="3" t="n">
        <v>103490</v>
      </c>
      <c r="E20" s="3" t="n">
        <v>147</v>
      </c>
      <c r="F20" s="3" t="n">
        <v>0</v>
      </c>
      <c r="G20" s="3" t="n">
        <f aca="false">+H20-E20-F20</f>
        <v>9071</v>
      </c>
      <c r="H20" s="3" t="n">
        <v>9218</v>
      </c>
      <c r="I20" s="3" t="n">
        <f aca="false">D20+H20</f>
        <v>112708</v>
      </c>
    </row>
    <row r="21" customFormat="false" ht="14.65" hidden="false" customHeight="false" outlineLevel="0" collapsed="false">
      <c r="A21" s="5" t="s">
        <v>25</v>
      </c>
      <c r="B21" s="3" t="n">
        <v>698</v>
      </c>
      <c r="C21" s="3" t="n">
        <f aca="false">+D21-B21</f>
        <v>122978</v>
      </c>
      <c r="D21" s="3" t="n">
        <v>123676</v>
      </c>
      <c r="E21" s="3" t="n">
        <v>173</v>
      </c>
      <c r="F21" s="3" t="n">
        <v>128</v>
      </c>
      <c r="G21" s="3" t="n">
        <f aca="false">+H21-E21-F21</f>
        <v>9279</v>
      </c>
      <c r="H21" s="3" t="n">
        <v>9580</v>
      </c>
      <c r="I21" s="3" t="n">
        <f aca="false">D21+H21</f>
        <v>133256</v>
      </c>
    </row>
    <row r="22" customFormat="false" ht="14.65" hidden="false" customHeight="false" outlineLevel="0" collapsed="false">
      <c r="A22" s="4" t="s">
        <v>26</v>
      </c>
      <c r="B22" s="3" t="n">
        <v>540</v>
      </c>
      <c r="C22" s="3" t="n">
        <f aca="false">+D22-B22</f>
        <v>61953</v>
      </c>
      <c r="D22" s="3" t="n">
        <v>62493</v>
      </c>
      <c r="E22" s="3" t="n">
        <v>221</v>
      </c>
      <c r="F22" s="3" t="n">
        <v>93</v>
      </c>
      <c r="G22" s="3" t="n">
        <f aca="false">+H22-E22-F22</f>
        <v>9825</v>
      </c>
      <c r="H22" s="3" t="n">
        <v>10139</v>
      </c>
      <c r="I22" s="3" t="n">
        <f aca="false">D22+H22</f>
        <v>72632</v>
      </c>
    </row>
    <row r="23" customFormat="false" ht="14.65" hidden="false" customHeight="false" outlineLevel="0" collapsed="false">
      <c r="A23" s="4" t="s">
        <v>27</v>
      </c>
      <c r="B23" s="3" t="n">
        <v>608</v>
      </c>
      <c r="C23" s="3" t="n">
        <f aca="false">+D23-B23</f>
        <v>45225</v>
      </c>
      <c r="D23" s="3" t="n">
        <v>45833</v>
      </c>
      <c r="E23" s="3" t="n">
        <v>263</v>
      </c>
      <c r="F23" s="3" t="n">
        <v>45</v>
      </c>
      <c r="G23" s="3" t="n">
        <f aca="false">+H23-E23-F23</f>
        <v>13458</v>
      </c>
      <c r="H23" s="3" t="n">
        <v>13766</v>
      </c>
      <c r="I23" s="3" t="n">
        <f aca="false">D23+H23</f>
        <v>59599</v>
      </c>
    </row>
    <row r="24" customFormat="false" ht="14.65" hidden="false" customHeight="false" outlineLevel="0" collapsed="false">
      <c r="A24" s="4" t="s">
        <v>28</v>
      </c>
      <c r="B24" s="3" t="n">
        <v>312</v>
      </c>
      <c r="C24" s="3" t="n">
        <f aca="false">+D24-B24</f>
        <v>19615</v>
      </c>
      <c r="D24" s="3" t="n">
        <v>19927</v>
      </c>
      <c r="E24" s="3" t="n">
        <v>54</v>
      </c>
      <c r="F24" s="3" t="n">
        <v>17</v>
      </c>
      <c r="G24" s="3" t="n">
        <f aca="false">+H24-E24-F24</f>
        <v>2512</v>
      </c>
      <c r="H24" s="3" t="n">
        <v>2583</v>
      </c>
      <c r="I24" s="3" t="n">
        <f aca="false">D24+H24</f>
        <v>22510</v>
      </c>
    </row>
    <row r="25" customFormat="false" ht="14.65" hidden="false" customHeight="false" outlineLevel="0" collapsed="false">
      <c r="A25" s="5" t="s">
        <v>29</v>
      </c>
      <c r="B25" s="3" t="n">
        <v>227</v>
      </c>
      <c r="C25" s="3" t="n">
        <f aca="false">+D25-B25</f>
        <v>15415</v>
      </c>
      <c r="D25" s="3" t="n">
        <v>15642</v>
      </c>
      <c r="E25" s="3" t="n">
        <v>255</v>
      </c>
      <c r="F25" s="3" t="n">
        <v>224</v>
      </c>
      <c r="G25" s="3" t="n">
        <f aca="false">+H25-E25-F25</f>
        <v>13192</v>
      </c>
      <c r="H25" s="3" t="n">
        <v>13671</v>
      </c>
      <c r="I25" s="3" t="n">
        <f aca="false">D25+H25</f>
        <v>29313</v>
      </c>
    </row>
    <row r="26" customFormat="false" ht="14.65" hidden="false" customHeight="false" outlineLevel="0" collapsed="false">
      <c r="A26" s="4" t="s">
        <v>30</v>
      </c>
      <c r="B26" s="3" t="n">
        <v>162</v>
      </c>
      <c r="C26" s="3" t="n">
        <f aca="false">+D26-B26</f>
        <v>10765</v>
      </c>
      <c r="D26" s="3" t="n">
        <v>10927</v>
      </c>
      <c r="E26" s="3" t="n">
        <v>403</v>
      </c>
      <c r="F26" s="3" t="n">
        <v>199</v>
      </c>
      <c r="G26" s="3" t="n">
        <f aca="false">+H26-E26-F26</f>
        <v>19034</v>
      </c>
      <c r="H26" s="3" t="n">
        <v>19636</v>
      </c>
      <c r="I26" s="3" t="n">
        <f aca="false">D26+H26</f>
        <v>30563</v>
      </c>
    </row>
    <row r="27" customFormat="false" ht="14.65" hidden="false" customHeight="false" outlineLevel="0" collapsed="false">
      <c r="A27" s="4" t="s">
        <v>31</v>
      </c>
      <c r="B27" s="3" t="n">
        <v>741</v>
      </c>
      <c r="C27" s="3" t="n">
        <f aca="false">+D27-B27</f>
        <v>88744</v>
      </c>
      <c r="D27" s="3" t="n">
        <v>89485</v>
      </c>
      <c r="E27" s="3" t="n">
        <v>499</v>
      </c>
      <c r="F27" s="3" t="n">
        <v>221</v>
      </c>
      <c r="G27" s="3" t="n">
        <f aca="false">+H27-E27-F27</f>
        <v>27454</v>
      </c>
      <c r="H27" s="3" t="n">
        <v>28174</v>
      </c>
      <c r="I27" s="3" t="n">
        <f aca="false">D27+H27</f>
        <v>117659</v>
      </c>
    </row>
    <row r="28" customFormat="false" ht="14.65" hidden="false" customHeight="false" outlineLevel="0" collapsed="false">
      <c r="A28" s="4" t="s">
        <v>32</v>
      </c>
      <c r="B28" s="3" t="n">
        <v>681</v>
      </c>
      <c r="C28" s="3" t="n">
        <f aca="false">+D28-B28</f>
        <v>114392</v>
      </c>
      <c r="D28" s="3" t="n">
        <v>115073</v>
      </c>
      <c r="E28" s="3" t="n">
        <v>233</v>
      </c>
      <c r="F28" s="3" t="n">
        <v>130</v>
      </c>
      <c r="G28" s="3" t="n">
        <f aca="false">+H28-E28-F28</f>
        <v>14523</v>
      </c>
      <c r="H28" s="3" t="n">
        <v>14886</v>
      </c>
      <c r="I28" s="3" t="n">
        <f aca="false">D28+H28</f>
        <v>129959</v>
      </c>
    </row>
    <row r="29" customFormat="false" ht="14.65" hidden="false" customHeight="false" outlineLevel="0" collapsed="false">
      <c r="A29" s="5" t="s">
        <v>33</v>
      </c>
      <c r="B29" s="3" t="n">
        <v>558</v>
      </c>
      <c r="C29" s="3" t="n">
        <f aca="false">+D29-B29</f>
        <v>64372</v>
      </c>
      <c r="D29" s="3" t="n">
        <v>64930</v>
      </c>
      <c r="E29" s="3" t="n">
        <v>127</v>
      </c>
      <c r="F29" s="3" t="n">
        <v>40</v>
      </c>
      <c r="G29" s="3" t="n">
        <f aca="false">+H29-E29-F29</f>
        <v>7737</v>
      </c>
      <c r="H29" s="3" t="n">
        <v>7904</v>
      </c>
      <c r="I29" s="3" t="n">
        <f aca="false">D29+H29</f>
        <v>72834</v>
      </c>
    </row>
    <row r="30" customFormat="false" ht="14.65" hidden="false" customHeight="false" outlineLevel="0" collapsed="false">
      <c r="A30" s="4" t="s">
        <v>34</v>
      </c>
      <c r="B30" s="3" t="n">
        <v>812</v>
      </c>
      <c r="C30" s="3" t="n">
        <f aca="false">+D30-B30</f>
        <v>104825</v>
      </c>
      <c r="D30" s="3" t="n">
        <v>105637</v>
      </c>
      <c r="E30" s="3" t="n">
        <v>366</v>
      </c>
      <c r="F30" s="3" t="n">
        <v>276</v>
      </c>
      <c r="G30" s="3" t="n">
        <f aca="false">+H30-E30-F30</f>
        <v>15508</v>
      </c>
      <c r="H30" s="3" t="n">
        <v>16150</v>
      </c>
      <c r="I30" s="3" t="n">
        <f aca="false">D30+H30</f>
        <v>121787</v>
      </c>
    </row>
    <row r="31" customFormat="false" ht="14.65" hidden="false" customHeight="false" outlineLevel="0" collapsed="false">
      <c r="A31" s="4" t="s">
        <v>35</v>
      </c>
      <c r="B31" s="3" t="n">
        <v>1137</v>
      </c>
      <c r="C31" s="3" t="n">
        <f aca="false">+D31-B31</f>
        <v>66251</v>
      </c>
      <c r="D31" s="3" t="n">
        <v>67388</v>
      </c>
      <c r="E31" s="3" t="n">
        <v>53</v>
      </c>
      <c r="F31" s="3" t="n">
        <v>0</v>
      </c>
      <c r="G31" s="3" t="n">
        <f aca="false">+H31-E31-F31</f>
        <v>2327</v>
      </c>
      <c r="H31" s="3" t="n">
        <v>2380</v>
      </c>
      <c r="I31" s="3" t="n">
        <f aca="false">D31+H31</f>
        <v>69768</v>
      </c>
    </row>
    <row r="32" customFormat="false" ht="14.65" hidden="false" customHeight="false" outlineLevel="0" collapsed="false">
      <c r="A32" s="4" t="s">
        <v>36</v>
      </c>
      <c r="B32" s="3" t="n">
        <v>437</v>
      </c>
      <c r="C32" s="3" t="n">
        <f aca="false">+D32-B32</f>
        <v>87211</v>
      </c>
      <c r="D32" s="3" t="n">
        <v>87648</v>
      </c>
      <c r="E32" s="3" t="n">
        <v>44</v>
      </c>
      <c r="F32" s="3" t="n">
        <v>11</v>
      </c>
      <c r="G32" s="3" t="n">
        <f aca="false">+H32-E32-F32</f>
        <v>4999</v>
      </c>
      <c r="H32" s="3" t="n">
        <v>5054</v>
      </c>
      <c r="I32" s="3" t="n">
        <f aca="false">D32+H32</f>
        <v>92702</v>
      </c>
    </row>
    <row r="33" customFormat="false" ht="14.65" hidden="false" customHeight="false" outlineLevel="0" collapsed="false">
      <c r="A33" s="5" t="s">
        <v>37</v>
      </c>
      <c r="B33" s="3" t="n">
        <v>480</v>
      </c>
      <c r="C33" s="3" t="n">
        <f aca="false">+D33-B33</f>
        <v>40701</v>
      </c>
      <c r="D33" s="3" t="n">
        <v>41181</v>
      </c>
      <c r="E33" s="3" t="n">
        <v>65</v>
      </c>
      <c r="F33" s="3" t="n">
        <v>32</v>
      </c>
      <c r="G33" s="3" t="n">
        <f aca="false">+H33-E33-F33</f>
        <v>4500</v>
      </c>
      <c r="H33" s="3" t="n">
        <v>4597</v>
      </c>
      <c r="I33" s="3" t="n">
        <f aca="false">D33+H33</f>
        <v>45778</v>
      </c>
    </row>
    <row r="34" customFormat="false" ht="14.65" hidden="false" customHeight="false" outlineLevel="0" collapsed="false">
      <c r="A34" s="4" t="s">
        <v>38</v>
      </c>
      <c r="B34" s="3" t="n">
        <v>176</v>
      </c>
      <c r="C34" s="3" t="n">
        <f aca="false">+D34-B34</f>
        <v>11893</v>
      </c>
      <c r="D34" s="3" t="n">
        <v>12069</v>
      </c>
      <c r="E34" s="3" t="n">
        <v>48</v>
      </c>
      <c r="F34" s="3" t="n">
        <v>40</v>
      </c>
      <c r="G34" s="3" t="n">
        <f aca="false">+H34-E34-F34</f>
        <v>2781</v>
      </c>
      <c r="H34" s="3" t="n">
        <v>2869</v>
      </c>
      <c r="I34" s="3" t="n">
        <f aca="false">D34+H34</f>
        <v>14938</v>
      </c>
    </row>
    <row r="35" customFormat="false" ht="14.65" hidden="false" customHeight="false" outlineLevel="0" collapsed="false">
      <c r="A35" s="4" t="s">
        <v>39</v>
      </c>
      <c r="B35" s="3" t="n">
        <v>113</v>
      </c>
      <c r="C35" s="3" t="n">
        <f aca="false">+D35-B35</f>
        <v>10955</v>
      </c>
      <c r="D35" s="3" t="n">
        <v>11068</v>
      </c>
      <c r="E35" s="3" t="n">
        <v>300</v>
      </c>
      <c r="F35" s="3" t="n">
        <v>306</v>
      </c>
      <c r="G35" s="3" t="n">
        <f aca="false">+H35-E35-F35</f>
        <v>23423</v>
      </c>
      <c r="H35" s="3" t="n">
        <v>24029</v>
      </c>
      <c r="I35" s="3" t="n">
        <f aca="false">D35+H35</f>
        <v>35097</v>
      </c>
    </row>
    <row r="36" customFormat="false" ht="14.65" hidden="false" customHeight="false" outlineLevel="0" collapsed="false">
      <c r="A36" s="4" t="s">
        <v>40</v>
      </c>
      <c r="B36" s="3" t="n">
        <v>907</v>
      </c>
      <c r="C36" s="3" t="n">
        <f aca="false">+D36-B36</f>
        <v>54054</v>
      </c>
      <c r="D36" s="3" t="n">
        <v>54961</v>
      </c>
      <c r="E36" s="3" t="n">
        <v>91</v>
      </c>
      <c r="F36" s="3" t="n">
        <v>3</v>
      </c>
      <c r="G36" s="3" t="n">
        <f aca="false">+H36-E36-F36</f>
        <v>5757</v>
      </c>
      <c r="H36" s="3" t="n">
        <v>5851</v>
      </c>
      <c r="I36" s="3" t="n">
        <f aca="false">D36+H36</f>
        <v>60812</v>
      </c>
    </row>
    <row r="37" customFormat="false" ht="14.65" hidden="false" customHeight="false" outlineLevel="0" collapsed="false">
      <c r="A37" s="5" t="s">
        <v>41</v>
      </c>
      <c r="B37" s="3" t="n">
        <v>797</v>
      </c>
      <c r="C37" s="3" t="n">
        <f aca="false">+D37-B37</f>
        <v>71792</v>
      </c>
      <c r="D37" s="3" t="n">
        <v>72589</v>
      </c>
      <c r="E37" s="3" t="n">
        <v>703</v>
      </c>
      <c r="F37" s="3" t="n">
        <v>857</v>
      </c>
      <c r="G37" s="3" t="n">
        <f aca="false">+H37-E37-F37</f>
        <v>37733</v>
      </c>
      <c r="H37" s="3" t="n">
        <v>39293</v>
      </c>
      <c r="I37" s="3" t="n">
        <f aca="false">D37+H37</f>
        <v>111882</v>
      </c>
    </row>
    <row r="38" customFormat="false" ht="14.65" hidden="false" customHeight="false" outlineLevel="0" collapsed="false">
      <c r="A38" s="4" t="s">
        <v>42</v>
      </c>
      <c r="B38" s="3" t="n">
        <v>633</v>
      </c>
      <c r="C38" s="3" t="n">
        <f aca="false">+D38-B38</f>
        <v>73672</v>
      </c>
      <c r="D38" s="3" t="n">
        <v>74305</v>
      </c>
      <c r="E38" s="3" t="n">
        <v>337</v>
      </c>
      <c r="F38" s="3" t="n">
        <v>260</v>
      </c>
      <c r="G38" s="3" t="n">
        <f aca="false">+H38-E38-F38</f>
        <v>21126</v>
      </c>
      <c r="H38" s="3" t="n">
        <v>21723</v>
      </c>
      <c r="I38" s="3" t="n">
        <f aca="false">D38+H38</f>
        <v>96028</v>
      </c>
    </row>
    <row r="39" customFormat="false" ht="14.65" hidden="false" customHeight="false" outlineLevel="0" collapsed="false">
      <c r="A39" s="4" t="s">
        <v>43</v>
      </c>
      <c r="B39" s="3" t="n">
        <v>531</v>
      </c>
      <c r="C39" s="3" t="n">
        <f aca="false">+D39-B39</f>
        <v>84378</v>
      </c>
      <c r="D39" s="3" t="n">
        <v>84909</v>
      </c>
      <c r="E39" s="3" t="n">
        <v>40</v>
      </c>
      <c r="F39" s="3" t="n">
        <v>0</v>
      </c>
      <c r="G39" s="3" t="n">
        <f aca="false">+H39-E39-F39</f>
        <v>1778</v>
      </c>
      <c r="H39" s="3" t="n">
        <v>1818</v>
      </c>
      <c r="I39" s="3" t="n">
        <f aca="false">D39+H39</f>
        <v>86727</v>
      </c>
    </row>
    <row r="40" customFormat="false" ht="14.65" hidden="false" customHeight="false" outlineLevel="0" collapsed="false">
      <c r="A40" s="4" t="s">
        <v>44</v>
      </c>
      <c r="B40" s="3" t="n">
        <v>847</v>
      </c>
      <c r="C40" s="3" t="n">
        <f aca="false">+D40-B40</f>
        <v>81408</v>
      </c>
      <c r="D40" s="3" t="n">
        <v>82255</v>
      </c>
      <c r="E40" s="3" t="n">
        <v>726</v>
      </c>
      <c r="F40" s="3" t="n">
        <v>381</v>
      </c>
      <c r="G40" s="3" t="n">
        <f aca="false">+H40-E40-F40</f>
        <v>30461</v>
      </c>
      <c r="H40" s="3" t="n">
        <v>31568</v>
      </c>
      <c r="I40" s="3" t="n">
        <f aca="false">D40+H40</f>
        <v>113823</v>
      </c>
    </row>
    <row r="41" customFormat="false" ht="14.65" hidden="false" customHeight="false" outlineLevel="0" collapsed="false">
      <c r="A41" s="5" t="s">
        <v>45</v>
      </c>
      <c r="B41" s="3" t="n">
        <v>715</v>
      </c>
      <c r="C41" s="3" t="n">
        <f aca="false">+D41-B41</f>
        <v>98958</v>
      </c>
      <c r="D41" s="3" t="n">
        <v>99673</v>
      </c>
      <c r="E41" s="3" t="n">
        <v>214</v>
      </c>
      <c r="F41" s="3" t="n">
        <v>136</v>
      </c>
      <c r="G41" s="3" t="n">
        <f aca="false">+H41-E41-F41</f>
        <v>12444</v>
      </c>
      <c r="H41" s="3" t="n">
        <v>12794</v>
      </c>
      <c r="I41" s="3" t="n">
        <f aca="false">D41+H41</f>
        <v>112467</v>
      </c>
    </row>
    <row r="42" customFormat="false" ht="14.65" hidden="false" customHeight="false" outlineLevel="0" collapsed="false">
      <c r="A42" s="4" t="s">
        <v>46</v>
      </c>
      <c r="B42" s="3" t="n">
        <v>581</v>
      </c>
      <c r="C42" s="3" t="n">
        <f aca="false">+D42-B42</f>
        <v>85427</v>
      </c>
      <c r="D42" s="3" t="n">
        <v>86008</v>
      </c>
      <c r="E42" s="3" t="n">
        <v>146</v>
      </c>
      <c r="F42" s="3" t="n">
        <v>53</v>
      </c>
      <c r="G42" s="3" t="n">
        <f aca="false">+H42-E42-F42</f>
        <v>9829</v>
      </c>
      <c r="H42" s="3" t="n">
        <v>10028</v>
      </c>
      <c r="I42" s="3" t="n">
        <f aca="false">D42+H42</f>
        <v>96036</v>
      </c>
    </row>
    <row r="43" customFormat="false" ht="14.65" hidden="false" customHeight="false" outlineLevel="0" collapsed="false">
      <c r="A43" s="4" t="s">
        <v>47</v>
      </c>
      <c r="B43" s="3" t="n">
        <v>1079</v>
      </c>
      <c r="C43" s="3" t="n">
        <f aca="false">+D43-B43</f>
        <v>83343</v>
      </c>
      <c r="D43" s="3" t="n">
        <v>84422</v>
      </c>
      <c r="E43" s="3" t="n">
        <v>509</v>
      </c>
      <c r="F43" s="3" t="n">
        <v>485</v>
      </c>
      <c r="G43" s="3" t="n">
        <f aca="false">+H43-E43-F43</f>
        <v>31622</v>
      </c>
      <c r="H43" s="3" t="n">
        <v>32616</v>
      </c>
      <c r="I43" s="3" t="n">
        <f aca="false">D43+H43</f>
        <v>117038</v>
      </c>
    </row>
    <row r="44" customFormat="false" ht="14.65" hidden="false" customHeight="false" outlineLevel="0" collapsed="false">
      <c r="A44" s="4" t="s">
        <v>48</v>
      </c>
      <c r="B44" s="3" t="n">
        <v>21</v>
      </c>
      <c r="C44" s="3" t="n">
        <f aca="false">+D44-B44</f>
        <v>1313</v>
      </c>
      <c r="D44" s="3" t="n">
        <v>1334</v>
      </c>
      <c r="E44" s="3" t="n">
        <v>49</v>
      </c>
      <c r="F44" s="3" t="n">
        <v>68</v>
      </c>
      <c r="G44" s="3" t="n">
        <f aca="false">+H44-E44-F44</f>
        <v>4606</v>
      </c>
      <c r="H44" s="3" t="n">
        <v>4723</v>
      </c>
      <c r="I44" s="3" t="n">
        <f aca="false">D44+H44</f>
        <v>6057</v>
      </c>
    </row>
    <row r="45" customFormat="false" ht="14.65" hidden="false" customHeight="false" outlineLevel="0" collapsed="false">
      <c r="A45" s="5" t="s">
        <v>49</v>
      </c>
      <c r="B45" s="3" t="n">
        <v>668</v>
      </c>
      <c r="C45" s="3" t="n">
        <f aca="false">+D45-B45</f>
        <v>52969</v>
      </c>
      <c r="D45" s="3" t="n">
        <v>53637</v>
      </c>
      <c r="E45" s="3" t="n">
        <v>142</v>
      </c>
      <c r="F45" s="3" t="n">
        <v>70</v>
      </c>
      <c r="G45" s="3" t="n">
        <f aca="false">+H45-E45-F45</f>
        <v>10309</v>
      </c>
      <c r="H45" s="3" t="n">
        <v>10521</v>
      </c>
      <c r="I45" s="3" t="n">
        <f aca="false">D45+H45</f>
        <v>64158</v>
      </c>
    </row>
    <row r="46" customFormat="false" ht="14.65" hidden="false" customHeight="false" outlineLevel="0" collapsed="false">
      <c r="A46" s="4" t="s">
        <v>50</v>
      </c>
      <c r="B46" s="3" t="n">
        <v>631</v>
      </c>
      <c r="C46" s="3" t="n">
        <f aca="false">+D46-B46</f>
        <v>80814</v>
      </c>
      <c r="D46" s="3" t="n">
        <v>81445</v>
      </c>
      <c r="E46" s="3" t="n">
        <v>47</v>
      </c>
      <c r="F46" s="3" t="n">
        <v>3</v>
      </c>
      <c r="G46" s="3" t="n">
        <f aca="false">+H46-E46-F46</f>
        <v>1810</v>
      </c>
      <c r="H46" s="3" t="n">
        <v>1860</v>
      </c>
      <c r="I46" s="3" t="n">
        <f aca="false">D46+H46</f>
        <v>83305</v>
      </c>
    </row>
    <row r="47" customFormat="false" ht="14.65" hidden="false" customHeight="false" outlineLevel="0" collapsed="false">
      <c r="A47" s="4" t="s">
        <v>51</v>
      </c>
      <c r="B47" s="3" t="n">
        <v>740</v>
      </c>
      <c r="C47" s="3" t="n">
        <f aca="false">+D47-B47</f>
        <v>67776</v>
      </c>
      <c r="D47" s="3" t="n">
        <v>68516</v>
      </c>
      <c r="E47" s="3" t="n">
        <v>322</v>
      </c>
      <c r="F47" s="3" t="n">
        <v>114</v>
      </c>
      <c r="G47" s="3" t="n">
        <f aca="false">+H47-E47-F47</f>
        <v>16085</v>
      </c>
      <c r="H47" s="3" t="n">
        <v>16521</v>
      </c>
      <c r="I47" s="3" t="n">
        <f aca="false">D47+H47</f>
        <v>85037</v>
      </c>
    </row>
    <row r="48" customFormat="false" ht="14.65" hidden="false" customHeight="false" outlineLevel="0" collapsed="false">
      <c r="A48" s="4" t="s">
        <v>52</v>
      </c>
      <c r="B48" s="3" t="n">
        <v>2203</v>
      </c>
      <c r="C48" s="3" t="n">
        <f aca="false">+D48-B48</f>
        <v>212807</v>
      </c>
      <c r="D48" s="3" t="n">
        <v>215010</v>
      </c>
      <c r="E48" s="3" t="n">
        <v>1031</v>
      </c>
      <c r="F48" s="3" t="n">
        <v>1212</v>
      </c>
      <c r="G48" s="3" t="n">
        <f aca="false">+H48-E48-F48</f>
        <v>76889</v>
      </c>
      <c r="H48" s="3" t="n">
        <v>79132</v>
      </c>
      <c r="I48" s="3" t="n">
        <f aca="false">D48+H48</f>
        <v>294142</v>
      </c>
    </row>
    <row r="49" customFormat="false" ht="14.65" hidden="false" customHeight="false" outlineLevel="0" collapsed="false">
      <c r="A49" s="5" t="s">
        <v>53</v>
      </c>
      <c r="B49" s="3" t="n">
        <v>769</v>
      </c>
      <c r="C49" s="3" t="n">
        <f aca="false">+D49-B49</f>
        <v>33633</v>
      </c>
      <c r="D49" s="3" t="n">
        <v>34402</v>
      </c>
      <c r="E49" s="3" t="n">
        <v>168</v>
      </c>
      <c r="F49" s="3" t="n">
        <v>9</v>
      </c>
      <c r="G49" s="3" t="n">
        <f aca="false">+H49-E49-F49</f>
        <v>5929</v>
      </c>
      <c r="H49" s="3" t="n">
        <v>6106</v>
      </c>
      <c r="I49" s="3" t="n">
        <f aca="false">D49+H49</f>
        <v>40508</v>
      </c>
    </row>
    <row r="50" customFormat="false" ht="14.65" hidden="false" customHeight="false" outlineLevel="0" collapsed="false">
      <c r="A50" s="4" t="s">
        <v>54</v>
      </c>
      <c r="B50" s="3" t="n">
        <v>280</v>
      </c>
      <c r="C50" s="3" t="n">
        <f aca="false">+D50-B50</f>
        <v>12562</v>
      </c>
      <c r="D50" s="3" t="n">
        <v>12842</v>
      </c>
      <c r="E50" s="3" t="n">
        <v>40</v>
      </c>
      <c r="F50" s="3" t="n">
        <v>20</v>
      </c>
      <c r="G50" s="3" t="n">
        <f aca="false">+H50-E50-F50</f>
        <v>1264</v>
      </c>
      <c r="H50" s="3" t="n">
        <v>1324</v>
      </c>
      <c r="I50" s="3" t="n">
        <f aca="false">D50+H50</f>
        <v>14166</v>
      </c>
    </row>
    <row r="51" customFormat="false" ht="14.65" hidden="false" customHeight="false" outlineLevel="0" collapsed="false">
      <c r="A51" s="4" t="s">
        <v>55</v>
      </c>
      <c r="B51" s="3" t="n">
        <v>788</v>
      </c>
      <c r="C51" s="3" t="n">
        <f aca="false">+D51-B51</f>
        <v>52060</v>
      </c>
      <c r="D51" s="3" t="n">
        <v>52848</v>
      </c>
      <c r="E51" s="3" t="n">
        <v>318</v>
      </c>
      <c r="F51" s="3" t="n">
        <v>194</v>
      </c>
      <c r="G51" s="3" t="n">
        <f aca="false">+H51-E51-F51</f>
        <v>15069</v>
      </c>
      <c r="H51" s="3" t="n">
        <v>15581</v>
      </c>
      <c r="I51" s="3" t="n">
        <f aca="false">D51+H51</f>
        <v>68429</v>
      </c>
    </row>
    <row r="52" customFormat="false" ht="14.65" hidden="false" customHeight="false" outlineLevel="0" collapsed="false">
      <c r="A52" s="4" t="s">
        <v>56</v>
      </c>
      <c r="B52" s="3" t="n">
        <v>501</v>
      </c>
      <c r="C52" s="3" t="n">
        <f aca="false">+D52-B52</f>
        <v>61709</v>
      </c>
      <c r="D52" s="3" t="n">
        <v>62210</v>
      </c>
      <c r="E52" s="3" t="n">
        <v>262</v>
      </c>
      <c r="F52" s="3" t="n">
        <v>302</v>
      </c>
      <c r="G52" s="3" t="n">
        <f aca="false">+H52-E52-F52</f>
        <v>16654</v>
      </c>
      <c r="H52" s="3" t="n">
        <v>17218</v>
      </c>
      <c r="I52" s="3" t="n">
        <f aca="false">D52+H52</f>
        <v>79428</v>
      </c>
    </row>
    <row r="53" customFormat="false" ht="14.65" hidden="false" customHeight="false" outlineLevel="0" collapsed="false">
      <c r="A53" s="5" t="s">
        <v>57</v>
      </c>
      <c r="B53" s="3" t="n">
        <v>456</v>
      </c>
      <c r="C53" s="3" t="n">
        <f aca="false">+D53-B53</f>
        <v>31452</v>
      </c>
      <c r="D53" s="3" t="n">
        <v>31908</v>
      </c>
      <c r="E53" s="3" t="n">
        <v>94</v>
      </c>
      <c r="F53" s="3" t="n">
        <v>9</v>
      </c>
      <c r="G53" s="3" t="n">
        <f aca="false">+H53-E53-F53</f>
        <v>3034</v>
      </c>
      <c r="H53" s="3" t="n">
        <v>3137</v>
      </c>
      <c r="I53" s="3" t="n">
        <f aca="false">D53+H53</f>
        <v>35045</v>
      </c>
    </row>
    <row r="54" customFormat="false" ht="14.65" hidden="false" customHeight="false" outlineLevel="0" collapsed="false">
      <c r="A54" s="4" t="s">
        <v>58</v>
      </c>
      <c r="B54" s="3" t="n">
        <v>495</v>
      </c>
      <c r="C54" s="3" t="n">
        <f aca="false">+D54-B54</f>
        <v>94892</v>
      </c>
      <c r="D54" s="3" t="n">
        <v>95387</v>
      </c>
      <c r="E54" s="3" t="n">
        <v>143</v>
      </c>
      <c r="F54" s="3" t="n">
        <v>178</v>
      </c>
      <c r="G54" s="3" t="n">
        <f aca="false">+H54-E54-F54</f>
        <v>15270</v>
      </c>
      <c r="H54" s="3" t="n">
        <v>15591</v>
      </c>
      <c r="I54" s="3" t="n">
        <f aca="false">D54+H54</f>
        <v>110978</v>
      </c>
    </row>
    <row r="55" customFormat="false" ht="14.65" hidden="false" customHeight="false" outlineLevel="0" collapsed="false">
      <c r="A55" s="4" t="s">
        <v>59</v>
      </c>
      <c r="B55" s="3" t="n">
        <v>827</v>
      </c>
      <c r="C55" s="3" t="n">
        <f aca="false">+D55-B55</f>
        <v>34429</v>
      </c>
      <c r="D55" s="3" t="n">
        <v>35256</v>
      </c>
      <c r="E55" s="3" t="n">
        <v>87</v>
      </c>
      <c r="F55" s="3" t="n">
        <v>3</v>
      </c>
      <c r="G55" s="3" t="n">
        <f aca="false">+H55-E55-F55</f>
        <v>2296</v>
      </c>
      <c r="H55" s="3" t="n">
        <v>2386</v>
      </c>
      <c r="I55" s="3" t="n">
        <f aca="false">D55+H55</f>
        <v>37642</v>
      </c>
    </row>
    <row r="56" customFormat="false" ht="14.65" hidden="false" customHeight="false" outlineLevel="0" collapsed="false">
      <c r="A56" s="5" t="s">
        <v>60</v>
      </c>
      <c r="I56" s="3" t="n">
        <f aca="false">D56+H56</f>
        <v>0</v>
      </c>
    </row>
    <row r="57" customFormat="false" ht="14.65" hidden="false" customHeight="false" outlineLevel="0" collapsed="false">
      <c r="A57" s="6" t="s">
        <v>61</v>
      </c>
      <c r="B57" s="3" t="n">
        <f aca="false">SUM(B5:B55)</f>
        <v>32622</v>
      </c>
      <c r="C57" s="3" t="n">
        <f aca="false">SUM(C5:C55)</f>
        <v>3069021</v>
      </c>
      <c r="D57" s="3" t="n">
        <f aca="false">SUM(D5:D55)</f>
        <v>3101643</v>
      </c>
      <c r="E57" s="3" t="n">
        <f aca="false">SUM(E5:E55)</f>
        <v>12878</v>
      </c>
      <c r="F57" s="3" t="n">
        <f aca="false">SUM(F5:F55)</f>
        <v>8857</v>
      </c>
      <c r="G57" s="3" t="n">
        <f aca="false">SUM(G5:G55)</f>
        <v>781343</v>
      </c>
      <c r="H57" s="3" t="n">
        <f aca="false">SUM(H5:H55)</f>
        <v>803078</v>
      </c>
      <c r="I57" s="3" t="n">
        <f aca="false">D57+H57</f>
        <v>3904721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:G57 B6:G57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B1" s="3" t="s">
        <v>288</v>
      </c>
    </row>
    <row r="2" customFormat="false" ht="14.65" hidden="false" customHeight="false" outlineLevel="0" collapsed="false">
      <c r="C2" s="3" t="s">
        <v>232</v>
      </c>
    </row>
    <row r="3" customFormat="false" ht="14.65" hidden="false" customHeight="false" outlineLevel="0" collapsed="false">
      <c r="A3" s="19" t="s">
        <v>108</v>
      </c>
      <c r="B3" s="3" t="s">
        <v>233</v>
      </c>
      <c r="E3" s="3" t="s">
        <v>234</v>
      </c>
    </row>
    <row r="4" customFormat="false" ht="14.65" hidden="false" customHeight="false" outlineLevel="0" collapsed="false">
      <c r="A4" s="1"/>
      <c r="B4" s="3" t="s">
        <v>277</v>
      </c>
      <c r="C4" s="3" t="s">
        <v>277</v>
      </c>
      <c r="D4" s="3" t="s">
        <v>285</v>
      </c>
      <c r="E4" s="3" t="s">
        <v>277</v>
      </c>
      <c r="F4" s="3" t="s">
        <v>277</v>
      </c>
      <c r="G4" s="3" t="s">
        <v>285</v>
      </c>
      <c r="J4" s="3" t="s">
        <v>277</v>
      </c>
      <c r="K4" s="3" t="s">
        <v>277</v>
      </c>
      <c r="L4" s="3" t="s">
        <v>289</v>
      </c>
      <c r="N4" s="3" t="s">
        <v>277</v>
      </c>
    </row>
    <row r="5" customFormat="false" ht="14.65" hidden="false" customHeight="false" outlineLevel="0" collapsed="false">
      <c r="A5" s="17"/>
      <c r="B5" s="3" t="s">
        <v>236</v>
      </c>
      <c r="C5" s="3" t="s">
        <v>237</v>
      </c>
      <c r="D5" s="3" t="s">
        <v>238</v>
      </c>
      <c r="E5" s="3" t="s">
        <v>236</v>
      </c>
      <c r="F5" s="3" t="s">
        <v>237</v>
      </c>
      <c r="G5" s="3" t="s">
        <v>238</v>
      </c>
      <c r="J5" s="3" t="s">
        <v>236</v>
      </c>
      <c r="K5" s="3" t="s">
        <v>290</v>
      </c>
      <c r="N5" s="3" t="s">
        <v>236</v>
      </c>
    </row>
    <row r="6" customFormat="false" ht="14.65" hidden="false" customHeight="false" outlineLevel="0" collapsed="false">
      <c r="A6" s="1"/>
      <c r="B6" s="3" t="s">
        <v>176</v>
      </c>
      <c r="C6" s="3" t="s">
        <v>177</v>
      </c>
      <c r="D6" s="3" t="s">
        <v>178</v>
      </c>
      <c r="E6" s="3" t="s">
        <v>179</v>
      </c>
      <c r="F6" s="3" t="s">
        <v>180</v>
      </c>
      <c r="G6" s="3" t="s">
        <v>181</v>
      </c>
      <c r="I6" s="3" t="s">
        <v>179</v>
      </c>
      <c r="J6" s="17" t="s">
        <v>210</v>
      </c>
      <c r="K6" s="17" t="s">
        <v>211</v>
      </c>
      <c r="L6" s="17" t="s">
        <v>212</v>
      </c>
      <c r="M6" s="3" t="s">
        <v>176</v>
      </c>
      <c r="N6" s="17" t="s">
        <v>210</v>
      </c>
    </row>
    <row r="7" customFormat="false" ht="14.65" hidden="false" customHeight="false" outlineLevel="0" collapsed="false">
      <c r="A7" s="4" t="s">
        <v>8</v>
      </c>
      <c r="B7" s="3" t="n">
        <v>29484</v>
      </c>
      <c r="C7" s="3" t="n">
        <v>238395</v>
      </c>
      <c r="D7" s="3" t="n">
        <v>267879</v>
      </c>
      <c r="E7" s="3" t="n">
        <v>7412</v>
      </c>
      <c r="F7" s="3" t="n">
        <v>55938</v>
      </c>
      <c r="G7" s="3" t="n">
        <v>63350</v>
      </c>
      <c r="I7" s="3" t="n">
        <v>7412</v>
      </c>
      <c r="J7" s="3" t="n">
        <v>4442</v>
      </c>
      <c r="K7" s="3" t="n">
        <v>18361</v>
      </c>
      <c r="L7" s="3" t="n">
        <v>22803</v>
      </c>
      <c r="M7" s="3" t="n">
        <v>29484</v>
      </c>
      <c r="N7" s="3" t="n">
        <v>4442</v>
      </c>
    </row>
    <row r="8" customFormat="false" ht="14.65" hidden="false" customHeight="false" outlineLevel="0" collapsed="false">
      <c r="A8" s="4" t="s">
        <v>9</v>
      </c>
      <c r="B8" s="3" t="n">
        <v>50659</v>
      </c>
      <c r="C8" s="3" t="n">
        <v>84665</v>
      </c>
      <c r="D8" s="3" t="n">
        <v>135324</v>
      </c>
      <c r="E8" s="3" t="n">
        <v>3744</v>
      </c>
      <c r="F8" s="3" t="n">
        <v>8380</v>
      </c>
      <c r="G8" s="3" t="n">
        <v>12124</v>
      </c>
      <c r="I8" s="3" t="n">
        <v>3744</v>
      </c>
      <c r="J8" s="3" t="n">
        <v>677</v>
      </c>
      <c r="K8" s="3" t="n">
        <v>1328</v>
      </c>
      <c r="L8" s="3" t="n">
        <v>2005</v>
      </c>
      <c r="M8" s="3" t="n">
        <v>50659</v>
      </c>
      <c r="N8" s="3" t="n">
        <v>677</v>
      </c>
    </row>
    <row r="9" customFormat="false" ht="14.65" hidden="false" customHeight="false" outlineLevel="0" collapsed="false">
      <c r="A9" s="4" t="s">
        <v>10</v>
      </c>
      <c r="B9" s="3" t="n">
        <v>66574</v>
      </c>
      <c r="C9" s="3" t="n">
        <v>136890</v>
      </c>
      <c r="D9" s="3" t="n">
        <v>203464</v>
      </c>
      <c r="E9" s="3" t="s">
        <v>20</v>
      </c>
      <c r="F9" s="3" t="e">
        <f aca="false">#REF!</f>
        <v>#VALUE!</v>
      </c>
      <c r="G9" s="3" t="s">
        <v>20</v>
      </c>
      <c r="I9" s="3" t="s">
        <v>20</v>
      </c>
      <c r="J9" s="3" t="n">
        <v>5110</v>
      </c>
      <c r="K9" s="3" t="n">
        <v>8678</v>
      </c>
      <c r="L9" s="3" t="n">
        <v>13788</v>
      </c>
      <c r="M9" s="3" t="n">
        <v>66574</v>
      </c>
      <c r="N9" s="3" t="n">
        <v>5110</v>
      </c>
    </row>
    <row r="10" customFormat="false" ht="14.65" hidden="false" customHeight="false" outlineLevel="0" collapsed="false">
      <c r="A10" s="4" t="s">
        <v>11</v>
      </c>
      <c r="B10" s="3" t="n">
        <v>26357</v>
      </c>
      <c r="C10" s="3" t="n">
        <v>196878</v>
      </c>
      <c r="D10" s="3" t="n">
        <v>223235</v>
      </c>
      <c r="E10" s="3" t="n">
        <v>7154</v>
      </c>
      <c r="F10" s="3" t="n">
        <v>60650</v>
      </c>
      <c r="G10" s="3" t="n">
        <v>67804</v>
      </c>
      <c r="I10" s="3" t="n">
        <v>7154</v>
      </c>
      <c r="J10" s="3" t="n">
        <v>3140</v>
      </c>
      <c r="K10" s="3" t="n">
        <v>11908</v>
      </c>
      <c r="L10" s="3" t="n">
        <v>15048</v>
      </c>
      <c r="M10" s="3" t="n">
        <v>26357</v>
      </c>
      <c r="N10" s="3" t="n">
        <v>3140</v>
      </c>
    </row>
    <row r="11" customFormat="false" ht="14.65" hidden="false" customHeight="false" outlineLevel="0" collapsed="false">
      <c r="A11" s="5" t="s">
        <v>12</v>
      </c>
      <c r="B11" s="3" t="n">
        <v>61578</v>
      </c>
      <c r="C11" s="3" t="n">
        <v>678709</v>
      </c>
      <c r="D11" s="3" t="n">
        <v>740287</v>
      </c>
      <c r="E11" s="3" t="n">
        <v>44901</v>
      </c>
      <c r="F11" s="3" t="n">
        <v>164991</v>
      </c>
      <c r="G11" s="3" t="n">
        <v>209892</v>
      </c>
      <c r="I11" s="3" t="n">
        <v>44901</v>
      </c>
      <c r="J11" s="3" t="n">
        <v>14322</v>
      </c>
      <c r="K11" s="3" t="n">
        <v>37875</v>
      </c>
      <c r="L11" s="3" t="n">
        <v>52197</v>
      </c>
      <c r="M11" s="3" t="n">
        <v>61578</v>
      </c>
      <c r="N11" s="3" t="n">
        <v>14322</v>
      </c>
    </row>
    <row r="12" customFormat="false" ht="14.65" hidden="false" customHeight="false" outlineLevel="0" collapsed="false">
      <c r="A12" s="4" t="s">
        <v>13</v>
      </c>
      <c r="B12" s="3" t="n">
        <v>80658</v>
      </c>
      <c r="C12" s="3" t="n">
        <v>79953</v>
      </c>
      <c r="D12" s="3" t="n">
        <v>160611</v>
      </c>
      <c r="E12" s="3" t="n">
        <v>18067</v>
      </c>
      <c r="F12" s="3" t="n">
        <v>62885</v>
      </c>
      <c r="G12" s="3" t="n">
        <v>80952</v>
      </c>
      <c r="I12" s="3" t="n">
        <v>18067</v>
      </c>
      <c r="J12" s="3" t="n">
        <v>3661</v>
      </c>
      <c r="K12" s="3" t="n">
        <v>8913</v>
      </c>
      <c r="L12" s="3" t="n">
        <v>12574</v>
      </c>
      <c r="M12" s="3" t="n">
        <v>80658</v>
      </c>
      <c r="N12" s="3" t="n">
        <v>3661</v>
      </c>
    </row>
    <row r="13" customFormat="false" ht="14.65" hidden="false" customHeight="false" outlineLevel="0" collapsed="false">
      <c r="A13" s="4" t="s">
        <v>14</v>
      </c>
      <c r="B13" s="3" t="n">
        <v>30305</v>
      </c>
      <c r="C13" s="3" t="n">
        <v>44920</v>
      </c>
      <c r="D13" s="3" t="n">
        <v>75225</v>
      </c>
      <c r="E13" s="3" t="n">
        <v>1366</v>
      </c>
      <c r="F13" s="3" t="n">
        <v>18028</v>
      </c>
      <c r="G13" s="3" t="n">
        <v>19394</v>
      </c>
      <c r="I13" s="3" t="n">
        <v>1366</v>
      </c>
      <c r="J13" s="3" t="n">
        <v>1357</v>
      </c>
      <c r="K13" s="3" t="n">
        <v>4711</v>
      </c>
      <c r="L13" s="3" t="n">
        <v>6068</v>
      </c>
      <c r="M13" s="3" t="n">
        <v>30305</v>
      </c>
      <c r="N13" s="3" t="n">
        <v>1357</v>
      </c>
    </row>
    <row r="14" customFormat="false" ht="14.65" hidden="false" customHeight="false" outlineLevel="0" collapsed="false">
      <c r="A14" s="4" t="s">
        <v>15</v>
      </c>
      <c r="B14" s="3" t="n">
        <v>0</v>
      </c>
      <c r="C14" s="3" t="n">
        <v>96196</v>
      </c>
      <c r="D14" s="3" t="n">
        <v>96196</v>
      </c>
      <c r="E14" s="3" t="n">
        <v>0</v>
      </c>
      <c r="F14" s="3" t="n">
        <v>673</v>
      </c>
      <c r="G14" s="3" t="n">
        <v>673</v>
      </c>
      <c r="I14" s="3" t="n">
        <v>0</v>
      </c>
      <c r="J14" s="3" t="n">
        <v>0</v>
      </c>
      <c r="K14" s="3" t="n">
        <v>2685</v>
      </c>
      <c r="L14" s="3" t="n">
        <v>2685</v>
      </c>
      <c r="M14" s="3" t="n">
        <v>0</v>
      </c>
      <c r="N14" s="3" t="n">
        <v>0</v>
      </c>
    </row>
    <row r="15" customFormat="false" ht="14.65" hidden="false" customHeight="false" outlineLevel="0" collapsed="false">
      <c r="A15" s="5" t="s">
        <v>16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customFormat="false" ht="14.65" hidden="false" customHeight="false" outlineLevel="0" collapsed="false">
      <c r="A16" s="4" t="s">
        <v>17</v>
      </c>
      <c r="B16" s="3" t="n">
        <v>94234</v>
      </c>
      <c r="C16" s="3" t="n">
        <v>501226</v>
      </c>
      <c r="D16" s="3" t="n">
        <v>595460</v>
      </c>
      <c r="E16" s="3" t="n">
        <v>8772</v>
      </c>
      <c r="F16" s="3" t="n">
        <v>73647</v>
      </c>
      <c r="G16" s="3" t="n">
        <v>82419</v>
      </c>
      <c r="I16" s="3" t="n">
        <v>8772</v>
      </c>
      <c r="J16" s="3" t="n">
        <v>10183</v>
      </c>
      <c r="K16" s="3" t="n">
        <v>24818</v>
      </c>
      <c r="L16" s="3" t="n">
        <v>35001</v>
      </c>
      <c r="M16" s="3" t="n">
        <v>94234</v>
      </c>
      <c r="N16" s="3" t="n">
        <v>10183</v>
      </c>
    </row>
    <row r="17" customFormat="false" ht="14.65" hidden="false" customHeight="false" outlineLevel="0" collapsed="false">
      <c r="A17" s="4" t="s">
        <v>18</v>
      </c>
      <c r="B17" s="3" t="n">
        <v>56115</v>
      </c>
      <c r="C17" s="3" t="n">
        <v>257194</v>
      </c>
      <c r="D17" s="3" t="n">
        <v>313309</v>
      </c>
      <c r="E17" s="3" t="n">
        <v>6110</v>
      </c>
      <c r="F17" s="3" t="n">
        <v>106470</v>
      </c>
      <c r="G17" s="3" t="n">
        <v>112580</v>
      </c>
      <c r="I17" s="3" t="n">
        <v>6110</v>
      </c>
      <c r="J17" s="3" t="n">
        <v>8419</v>
      </c>
      <c r="K17" s="3" t="n">
        <v>23753</v>
      </c>
      <c r="L17" s="3" t="n">
        <v>32172</v>
      </c>
      <c r="M17" s="3" t="n">
        <v>56115</v>
      </c>
      <c r="N17" s="3" t="n">
        <v>8419</v>
      </c>
    </row>
    <row r="18" customFormat="false" ht="14.65" hidden="false" customHeight="false" outlineLevel="0" collapsed="false">
      <c r="A18" s="4" t="s">
        <v>19</v>
      </c>
      <c r="B18" s="3" t="n">
        <v>20447</v>
      </c>
      <c r="C18" s="3" t="n">
        <v>51985</v>
      </c>
      <c r="D18" s="3" t="n">
        <v>72432</v>
      </c>
      <c r="E18" s="3" t="n">
        <v>700</v>
      </c>
      <c r="F18" s="3" t="n">
        <v>8175</v>
      </c>
      <c r="G18" s="3" t="n">
        <v>8875</v>
      </c>
      <c r="I18" s="3" t="n">
        <v>700</v>
      </c>
      <c r="J18" s="3" t="n">
        <v>0</v>
      </c>
      <c r="K18" s="3" t="n">
        <v>2148</v>
      </c>
      <c r="L18" s="3" t="n">
        <v>2148</v>
      </c>
      <c r="M18" s="3" t="n">
        <v>20447</v>
      </c>
      <c r="N18" s="3" t="n">
        <v>0</v>
      </c>
    </row>
    <row r="19" customFormat="false" ht="14.65" hidden="false" customHeight="false" outlineLevel="0" collapsed="false">
      <c r="A19" s="5" t="s">
        <v>21</v>
      </c>
      <c r="B19" s="3" t="n">
        <v>41236</v>
      </c>
      <c r="C19" s="3" t="n">
        <v>75044</v>
      </c>
      <c r="D19" s="3" t="n">
        <v>116280</v>
      </c>
      <c r="E19" s="3" t="n">
        <v>2307</v>
      </c>
      <c r="F19" s="3" t="n">
        <v>17980</v>
      </c>
      <c r="G19" s="3" t="n">
        <v>20287</v>
      </c>
      <c r="I19" s="3" t="n">
        <v>2307</v>
      </c>
      <c r="J19" s="3" t="n">
        <v>1667</v>
      </c>
      <c r="K19" s="3" t="n">
        <v>5540</v>
      </c>
      <c r="L19" s="3" t="n">
        <v>7207</v>
      </c>
      <c r="M19" s="3" t="n">
        <v>41236</v>
      </c>
      <c r="N19" s="3" t="n">
        <v>1667</v>
      </c>
    </row>
    <row r="20" customFormat="false" ht="14.65" hidden="false" customHeight="false" outlineLevel="0" collapsed="false">
      <c r="A20" s="4" t="s">
        <v>22</v>
      </c>
      <c r="B20" s="3" t="n">
        <v>212843</v>
      </c>
      <c r="C20" s="3" t="n">
        <v>556580</v>
      </c>
      <c r="D20" s="3" t="n">
        <v>769423</v>
      </c>
      <c r="E20" s="3" t="n">
        <v>21476</v>
      </c>
      <c r="F20" s="3" t="n">
        <v>74427</v>
      </c>
      <c r="G20" s="3" t="n">
        <v>95903</v>
      </c>
      <c r="I20" s="3" t="n">
        <v>21476</v>
      </c>
      <c r="J20" s="3" t="n">
        <v>8428</v>
      </c>
      <c r="K20" s="3" t="n">
        <v>19826</v>
      </c>
      <c r="L20" s="3" t="n">
        <v>28254</v>
      </c>
      <c r="M20" s="3" t="n">
        <v>212843</v>
      </c>
      <c r="N20" s="3" t="n">
        <v>8428</v>
      </c>
    </row>
    <row r="21" customFormat="false" ht="14.65" hidden="false" customHeight="false" outlineLevel="0" collapsed="false">
      <c r="A21" s="4" t="s">
        <v>23</v>
      </c>
      <c r="B21" s="3" t="n">
        <v>130626</v>
      </c>
      <c r="C21" s="3" t="n">
        <v>177392</v>
      </c>
      <c r="D21" s="3" t="n">
        <v>308018</v>
      </c>
      <c r="E21" s="3" t="n">
        <v>38619</v>
      </c>
      <c r="F21" s="3" t="n">
        <v>114821</v>
      </c>
      <c r="G21" s="3" t="n">
        <v>153440</v>
      </c>
      <c r="I21" s="3" t="n">
        <v>38619</v>
      </c>
      <c r="J21" s="3" t="n">
        <v>6646</v>
      </c>
      <c r="K21" s="3" t="n">
        <v>22606</v>
      </c>
      <c r="L21" s="3" t="n">
        <v>29252</v>
      </c>
      <c r="M21" s="3" t="n">
        <v>130626</v>
      </c>
      <c r="N21" s="3" t="n">
        <v>6646</v>
      </c>
    </row>
    <row r="22" customFormat="false" ht="14.65" hidden="false" customHeight="false" outlineLevel="0" collapsed="false">
      <c r="A22" s="4" t="s">
        <v>24</v>
      </c>
      <c r="B22" s="3" t="n">
        <v>72276</v>
      </c>
      <c r="C22" s="3" t="n">
        <v>220044</v>
      </c>
      <c r="D22" s="3" t="n">
        <v>292320</v>
      </c>
      <c r="E22" s="3" t="n">
        <v>12509</v>
      </c>
      <c r="F22" s="3" t="n">
        <v>37006</v>
      </c>
      <c r="G22" s="3" t="n">
        <v>49515</v>
      </c>
      <c r="I22" s="3" t="n">
        <v>12509</v>
      </c>
      <c r="J22" s="3" t="n">
        <v>3406</v>
      </c>
      <c r="K22" s="3" t="n">
        <v>11958</v>
      </c>
      <c r="L22" s="3" t="n">
        <v>15364</v>
      </c>
      <c r="M22" s="3" t="n">
        <v>72276</v>
      </c>
      <c r="N22" s="3" t="n">
        <v>3406</v>
      </c>
    </row>
    <row r="23" customFormat="false" ht="14.65" hidden="false" customHeight="false" outlineLevel="0" collapsed="false">
      <c r="A23" s="5" t="s">
        <v>25</v>
      </c>
      <c r="B23" s="3" t="n">
        <v>34629</v>
      </c>
      <c r="C23" s="3" t="n">
        <v>284369</v>
      </c>
      <c r="D23" s="3" t="n">
        <v>318998</v>
      </c>
      <c r="E23" s="3" t="n">
        <v>17531</v>
      </c>
      <c r="F23" s="3" t="n">
        <v>41016</v>
      </c>
      <c r="G23" s="3" t="n">
        <v>58547</v>
      </c>
      <c r="I23" s="3" t="n">
        <v>17531</v>
      </c>
      <c r="J23" s="3" t="n">
        <v>2573</v>
      </c>
      <c r="K23" s="3" t="n">
        <v>10317</v>
      </c>
      <c r="L23" s="3" t="n">
        <v>12890</v>
      </c>
      <c r="M23" s="3" t="n">
        <v>34629</v>
      </c>
      <c r="N23" s="3" t="n">
        <v>2573</v>
      </c>
    </row>
    <row r="24" customFormat="false" ht="14.65" hidden="false" customHeight="false" outlineLevel="0" collapsed="false">
      <c r="A24" s="4" t="s">
        <v>26</v>
      </c>
      <c r="B24" s="3" t="s">
        <v>230</v>
      </c>
      <c r="C24" s="3" t="e">
        <f aca="false">#REF!</f>
        <v>#VALUE!</v>
      </c>
      <c r="D24" s="3" t="s">
        <v>20</v>
      </c>
      <c r="E24" s="3" t="s">
        <v>20</v>
      </c>
      <c r="F24" s="3" t="e">
        <f aca="false">#REF!</f>
        <v>#VALUE!</v>
      </c>
      <c r="G24" s="3" t="s">
        <v>20</v>
      </c>
      <c r="I24" s="3" t="s">
        <v>20</v>
      </c>
      <c r="J24" s="3" t="n">
        <v>4737</v>
      </c>
      <c r="K24" s="3" t="n">
        <v>16656</v>
      </c>
      <c r="L24" s="3" t="n">
        <v>21393</v>
      </c>
      <c r="M24" s="3" t="s">
        <v>230</v>
      </c>
      <c r="N24" s="3" t="n">
        <v>4737</v>
      </c>
    </row>
    <row r="25" customFormat="false" ht="14.65" hidden="false" customHeight="false" outlineLevel="0" collapsed="false">
      <c r="A25" s="4" t="s">
        <v>27</v>
      </c>
      <c r="B25" s="3" t="n">
        <v>56281</v>
      </c>
      <c r="C25" s="3" t="n">
        <v>209593</v>
      </c>
      <c r="D25" s="3" t="n">
        <v>265874</v>
      </c>
      <c r="E25" s="3" t="n">
        <v>1136</v>
      </c>
      <c r="F25" s="3" t="n">
        <v>59761</v>
      </c>
      <c r="G25" s="3" t="n">
        <v>60897</v>
      </c>
      <c r="I25" s="3" t="n">
        <v>1136</v>
      </c>
      <c r="J25" s="3" t="n">
        <v>4197</v>
      </c>
      <c r="K25" s="3" t="n">
        <v>12860</v>
      </c>
      <c r="L25" s="3" t="n">
        <v>17057</v>
      </c>
      <c r="M25" s="3" t="n">
        <v>56281</v>
      </c>
      <c r="N25" s="3" t="n">
        <v>4197</v>
      </c>
    </row>
    <row r="26" customFormat="false" ht="14.65" hidden="false" customHeight="false" outlineLevel="0" collapsed="false">
      <c r="A26" s="4" t="s">
        <v>28</v>
      </c>
      <c r="B26" s="3" t="n">
        <v>22864</v>
      </c>
      <c r="C26" s="3" t="n">
        <v>60801</v>
      </c>
      <c r="D26" s="3" t="n">
        <v>83665</v>
      </c>
      <c r="E26" s="3" t="n">
        <v>18472</v>
      </c>
      <c r="F26" s="3" t="n">
        <v>50372</v>
      </c>
      <c r="G26" s="3" t="n">
        <v>68844</v>
      </c>
      <c r="I26" s="3" t="n">
        <v>18472</v>
      </c>
      <c r="J26" s="3" t="n">
        <v>1725</v>
      </c>
      <c r="K26" s="3" t="n">
        <v>7239</v>
      </c>
      <c r="L26" s="3" t="n">
        <v>8964</v>
      </c>
      <c r="M26" s="3" t="n">
        <v>22864</v>
      </c>
      <c r="N26" s="3" t="n">
        <v>1725</v>
      </c>
    </row>
    <row r="27" customFormat="false" ht="14.65" hidden="false" customHeight="false" outlineLevel="0" collapsed="false">
      <c r="A27" s="5" t="s">
        <v>29</v>
      </c>
      <c r="B27" s="3" t="n">
        <v>113671</v>
      </c>
      <c r="C27" s="3" t="n">
        <v>124701</v>
      </c>
      <c r="D27" s="3" t="n">
        <v>238372</v>
      </c>
      <c r="E27" s="3" t="n">
        <v>6588</v>
      </c>
      <c r="F27" s="3" t="n">
        <v>2582</v>
      </c>
      <c r="G27" s="3" t="n">
        <v>9170</v>
      </c>
      <c r="I27" s="3" t="n">
        <v>6588</v>
      </c>
      <c r="J27" s="3" t="n">
        <v>2913</v>
      </c>
      <c r="K27" s="3" t="n">
        <v>9889</v>
      </c>
      <c r="L27" s="3" t="n">
        <v>12802</v>
      </c>
      <c r="M27" s="3" t="n">
        <v>113671</v>
      </c>
      <c r="N27" s="3" t="n">
        <v>2913</v>
      </c>
    </row>
    <row r="28" customFormat="false" ht="14.65" hidden="false" customHeight="false" outlineLevel="0" collapsed="false">
      <c r="A28" s="4" t="s">
        <v>30</v>
      </c>
      <c r="B28" s="3" t="s">
        <v>20</v>
      </c>
      <c r="C28" s="3" t="e">
        <f aca="false">#REF!</f>
        <v>#VALUE!</v>
      </c>
      <c r="D28" s="3" t="s">
        <v>20</v>
      </c>
      <c r="E28" s="3" t="s">
        <v>20</v>
      </c>
      <c r="F28" s="3" t="e">
        <f aca="false">#REF!</f>
        <v>#VALUE!</v>
      </c>
      <c r="G28" s="3" t="s">
        <v>20</v>
      </c>
      <c r="I28" s="3" t="s">
        <v>20</v>
      </c>
      <c r="J28" s="3" t="n">
        <v>2176</v>
      </c>
      <c r="K28" s="3" t="n">
        <v>6615</v>
      </c>
      <c r="L28" s="3" t="n">
        <v>8791</v>
      </c>
      <c r="M28" s="3" t="s">
        <v>20</v>
      </c>
      <c r="N28" s="3" t="n">
        <v>2176</v>
      </c>
    </row>
    <row r="29" customFormat="false" ht="14.65" hidden="false" customHeight="false" outlineLevel="0" collapsed="false">
      <c r="A29" s="4" t="s">
        <v>31</v>
      </c>
      <c r="B29" s="3" t="n">
        <v>71861</v>
      </c>
      <c r="C29" s="3" t="n">
        <v>162943</v>
      </c>
      <c r="D29" s="3" t="n">
        <v>234804</v>
      </c>
      <c r="E29" s="3" t="n">
        <v>13758</v>
      </c>
      <c r="F29" s="3" t="n">
        <v>26571</v>
      </c>
      <c r="G29" s="3" t="n">
        <v>40329</v>
      </c>
      <c r="I29" s="3" t="n">
        <v>13758</v>
      </c>
      <c r="J29" s="3" t="n">
        <v>5614</v>
      </c>
      <c r="K29" s="3" t="n">
        <v>25620</v>
      </c>
      <c r="L29" s="3" t="n">
        <v>31234</v>
      </c>
      <c r="M29" s="3" t="n">
        <v>71861</v>
      </c>
      <c r="N29" s="3" t="n">
        <v>5614</v>
      </c>
    </row>
    <row r="30" customFormat="false" ht="14.65" hidden="false" customHeight="false" outlineLevel="0" collapsed="false">
      <c r="A30" s="4" t="s">
        <v>32</v>
      </c>
      <c r="B30" s="3" t="n">
        <v>14920</v>
      </c>
      <c r="C30" s="3" t="n">
        <v>145839</v>
      </c>
      <c r="D30" s="3" t="n">
        <v>160759</v>
      </c>
      <c r="E30" s="3" t="n">
        <v>5342</v>
      </c>
      <c r="F30" s="3" t="n">
        <v>51908</v>
      </c>
      <c r="G30" s="3" t="n">
        <v>57250</v>
      </c>
      <c r="I30" s="3" t="n">
        <v>5342</v>
      </c>
      <c r="J30" s="3" t="n">
        <v>3201</v>
      </c>
      <c r="K30" s="3" t="n">
        <v>16769</v>
      </c>
      <c r="L30" s="3" t="n">
        <v>19970</v>
      </c>
      <c r="M30" s="3" t="n">
        <v>14920</v>
      </c>
      <c r="N30" s="3" t="n">
        <v>3201</v>
      </c>
    </row>
    <row r="31" customFormat="false" ht="14.65" hidden="false" customHeight="false" outlineLevel="0" collapsed="false">
      <c r="A31" s="5" t="s">
        <v>33</v>
      </c>
      <c r="B31" s="3" t="n">
        <v>33549</v>
      </c>
      <c r="C31" s="3" t="n">
        <v>279203</v>
      </c>
      <c r="D31" s="3" t="n">
        <v>312752</v>
      </c>
      <c r="E31" s="3" t="n">
        <v>3231</v>
      </c>
      <c r="F31" s="3" t="n">
        <v>31588</v>
      </c>
      <c r="G31" s="3" t="n">
        <v>34819</v>
      </c>
      <c r="I31" s="3" t="n">
        <v>3231</v>
      </c>
      <c r="J31" s="3" t="n">
        <v>2951</v>
      </c>
      <c r="K31" s="3" t="n">
        <v>14570</v>
      </c>
      <c r="L31" s="3" t="n">
        <v>17521</v>
      </c>
      <c r="M31" s="3" t="n">
        <v>33549</v>
      </c>
      <c r="N31" s="3" t="n">
        <v>2951</v>
      </c>
    </row>
    <row r="32" customFormat="false" ht="14.65" hidden="false" customHeight="false" outlineLevel="0" collapsed="false">
      <c r="A32" s="4" t="s">
        <v>34</v>
      </c>
      <c r="B32" s="3" t="n">
        <v>60904</v>
      </c>
      <c r="C32" s="3" t="n">
        <v>254227</v>
      </c>
      <c r="D32" s="3" t="n">
        <v>315131</v>
      </c>
      <c r="E32" s="3" t="n">
        <v>16829</v>
      </c>
      <c r="F32" s="3" t="n">
        <v>103110</v>
      </c>
      <c r="G32" s="3" t="n">
        <v>119939</v>
      </c>
      <c r="I32" s="3" t="n">
        <v>16829</v>
      </c>
      <c r="J32" s="3" t="n">
        <v>5504</v>
      </c>
      <c r="K32" s="3" t="n">
        <v>19464</v>
      </c>
      <c r="L32" s="3" t="n">
        <v>24968</v>
      </c>
      <c r="M32" s="3" t="n">
        <v>60904</v>
      </c>
      <c r="N32" s="3" t="n">
        <v>5504</v>
      </c>
    </row>
    <row r="33" customFormat="false" ht="14.65" hidden="false" customHeight="false" outlineLevel="0" collapsed="false">
      <c r="A33" s="4" t="s">
        <v>35</v>
      </c>
      <c r="B33" s="3" t="n">
        <v>33598</v>
      </c>
      <c r="C33" s="3" t="n">
        <v>116717</v>
      </c>
      <c r="D33" s="3" t="n">
        <v>150315</v>
      </c>
      <c r="E33" s="3" t="n">
        <v>3520</v>
      </c>
      <c r="F33" s="3" t="n">
        <v>12273</v>
      </c>
      <c r="G33" s="3" t="n">
        <v>15793</v>
      </c>
      <c r="I33" s="3" t="n">
        <v>3520</v>
      </c>
      <c r="J33" s="3" t="n">
        <v>1928</v>
      </c>
      <c r="K33" s="3" t="n">
        <v>4574</v>
      </c>
      <c r="L33" s="3" t="n">
        <v>6502</v>
      </c>
      <c r="M33" s="3" t="n">
        <v>33598</v>
      </c>
      <c r="N33" s="3" t="n">
        <v>1928</v>
      </c>
    </row>
    <row r="34" customFormat="false" ht="14.65" hidden="false" customHeight="false" outlineLevel="0" collapsed="false">
      <c r="A34" s="4" t="s">
        <v>36</v>
      </c>
      <c r="B34" s="3" t="n">
        <v>35102</v>
      </c>
      <c r="C34" s="3" t="n">
        <v>177951</v>
      </c>
      <c r="D34" s="3" t="n">
        <v>213053</v>
      </c>
      <c r="E34" s="3" t="n">
        <v>3277</v>
      </c>
      <c r="F34" s="3" t="n">
        <v>25251</v>
      </c>
      <c r="G34" s="3" t="n">
        <v>28528</v>
      </c>
      <c r="I34" s="3" t="n">
        <v>3277</v>
      </c>
      <c r="J34" s="3" t="n">
        <v>1994</v>
      </c>
      <c r="K34" s="3" t="n">
        <v>6966</v>
      </c>
      <c r="L34" s="3" t="n">
        <v>8960</v>
      </c>
      <c r="M34" s="3" t="n">
        <v>35102</v>
      </c>
      <c r="N34" s="3" t="n">
        <v>1994</v>
      </c>
    </row>
    <row r="35" customFormat="false" ht="14.65" hidden="false" customHeight="false" outlineLevel="0" collapsed="false">
      <c r="A35" s="5" t="s">
        <v>37</v>
      </c>
      <c r="B35" s="3" t="s">
        <v>20</v>
      </c>
      <c r="C35" s="3" t="e">
        <f aca="false">#REF!</f>
        <v>#VALUE!</v>
      </c>
      <c r="D35" s="3" t="s">
        <v>20</v>
      </c>
      <c r="E35" s="3" t="s">
        <v>20</v>
      </c>
      <c r="F35" s="3" t="e">
        <f aca="false">#REF!</f>
        <v>#VALUE!</v>
      </c>
      <c r="G35" s="3" t="s">
        <v>20</v>
      </c>
      <c r="I35" s="3" t="s">
        <v>20</v>
      </c>
      <c r="J35" s="3" t="n">
        <v>1522</v>
      </c>
      <c r="K35" s="3" t="n">
        <v>2957</v>
      </c>
      <c r="L35" s="3" t="n">
        <v>4479</v>
      </c>
      <c r="M35" s="3" t="s">
        <v>20</v>
      </c>
      <c r="N35" s="3" t="n">
        <v>1522</v>
      </c>
    </row>
    <row r="36" customFormat="false" ht="14.65" hidden="false" customHeight="false" outlineLevel="0" collapsed="false">
      <c r="A36" s="4" t="s">
        <v>38</v>
      </c>
      <c r="B36" s="3" t="n">
        <v>39037</v>
      </c>
      <c r="C36" s="3" t="n">
        <v>61431</v>
      </c>
      <c r="D36" s="3" t="n">
        <v>100468</v>
      </c>
      <c r="E36" s="3" t="n">
        <v>3699</v>
      </c>
      <c r="F36" s="3" t="n">
        <v>44484</v>
      </c>
      <c r="G36" s="3" t="n">
        <v>48183</v>
      </c>
      <c r="I36" s="3" t="n">
        <v>3699</v>
      </c>
      <c r="J36" s="3" t="n">
        <v>1330</v>
      </c>
      <c r="K36" s="3" t="n">
        <v>5025</v>
      </c>
      <c r="L36" s="3" t="n">
        <v>6355</v>
      </c>
      <c r="M36" s="3" t="n">
        <v>39037</v>
      </c>
      <c r="N36" s="3" t="n">
        <v>1330</v>
      </c>
    </row>
    <row r="37" customFormat="false" ht="14.65" hidden="false" customHeight="false" outlineLevel="0" collapsed="false">
      <c r="A37" s="4" t="s">
        <v>39</v>
      </c>
      <c r="B37" s="3" t="n">
        <v>10398</v>
      </c>
      <c r="C37" s="3" t="n">
        <v>95880</v>
      </c>
      <c r="D37" s="3" t="n">
        <v>106278</v>
      </c>
      <c r="E37" s="3" t="n">
        <v>4801</v>
      </c>
      <c r="F37" s="3" t="n">
        <v>25387</v>
      </c>
      <c r="G37" s="3" t="n">
        <v>30188</v>
      </c>
      <c r="I37" s="3" t="n">
        <v>4801</v>
      </c>
      <c r="J37" s="3" t="n">
        <v>2124</v>
      </c>
      <c r="K37" s="3" t="n">
        <v>9726</v>
      </c>
      <c r="L37" s="3" t="n">
        <v>11850</v>
      </c>
      <c r="M37" s="3" t="n">
        <v>10398</v>
      </c>
      <c r="N37" s="3" t="n">
        <v>2124</v>
      </c>
    </row>
    <row r="38" customFormat="false" ht="14.65" hidden="false" customHeight="false" outlineLevel="0" collapsed="false">
      <c r="A38" s="4" t="s">
        <v>40</v>
      </c>
      <c r="B38" s="3" t="n">
        <v>63130</v>
      </c>
      <c r="C38" s="3" t="n">
        <v>176558</v>
      </c>
      <c r="D38" s="3" t="n">
        <v>239688</v>
      </c>
      <c r="E38" s="3" t="s">
        <v>20</v>
      </c>
      <c r="F38" s="3" t="e">
        <f aca="false">#REF!</f>
        <v>#VALUE!</v>
      </c>
      <c r="G38" s="3" t="s">
        <v>20</v>
      </c>
      <c r="I38" s="3" t="s">
        <v>20</v>
      </c>
      <c r="J38" s="3" t="n">
        <v>3659</v>
      </c>
      <c r="K38" s="3" t="n">
        <v>7989</v>
      </c>
      <c r="L38" s="3" t="n">
        <v>11648</v>
      </c>
      <c r="M38" s="3" t="n">
        <v>63130</v>
      </c>
      <c r="N38" s="3" t="n">
        <v>3659</v>
      </c>
    </row>
    <row r="39" customFormat="false" ht="14.65" hidden="false" customHeight="false" outlineLevel="0" collapsed="false">
      <c r="A39" s="5" t="s">
        <v>41</v>
      </c>
      <c r="B39" s="3" t="n">
        <v>308954</v>
      </c>
      <c r="C39" s="3" t="n">
        <v>79800</v>
      </c>
      <c r="D39" s="3" t="n">
        <v>388754</v>
      </c>
      <c r="E39" s="3" t="n">
        <v>104087</v>
      </c>
      <c r="F39" s="3" t="n">
        <v>37561</v>
      </c>
      <c r="G39" s="3" t="n">
        <v>141648</v>
      </c>
      <c r="I39" s="3" t="n">
        <v>104087</v>
      </c>
      <c r="J39" s="3" t="n">
        <v>5381</v>
      </c>
      <c r="K39" s="3" t="n">
        <v>24961</v>
      </c>
      <c r="L39" s="3" t="n">
        <v>30342</v>
      </c>
      <c r="M39" s="3" t="n">
        <v>308954</v>
      </c>
      <c r="N39" s="3" t="n">
        <v>5381</v>
      </c>
    </row>
    <row r="40" customFormat="false" ht="14.65" hidden="false" customHeight="false" outlineLevel="0" collapsed="false">
      <c r="A40" s="4" t="s">
        <v>42</v>
      </c>
      <c r="B40" s="3" t="n">
        <v>95113</v>
      </c>
      <c r="C40" s="3" t="n">
        <v>304887</v>
      </c>
      <c r="D40" s="3" t="n">
        <v>400000</v>
      </c>
      <c r="E40" s="3" t="n">
        <v>8739</v>
      </c>
      <c r="F40" s="3" t="n">
        <v>86962</v>
      </c>
      <c r="G40" s="3" t="n">
        <v>95701</v>
      </c>
      <c r="I40" s="3" t="n">
        <v>8739</v>
      </c>
      <c r="J40" s="3" t="n">
        <v>6237</v>
      </c>
      <c r="K40" s="3" t="n">
        <v>27529</v>
      </c>
      <c r="L40" s="3" t="n">
        <v>33766</v>
      </c>
      <c r="M40" s="3" t="n">
        <v>95113</v>
      </c>
      <c r="N40" s="3" t="n">
        <v>6237</v>
      </c>
    </row>
    <row r="41" customFormat="false" ht="14.65" hidden="false" customHeight="false" outlineLevel="0" collapsed="false">
      <c r="A41" s="4" t="s">
        <v>43</v>
      </c>
      <c r="B41" s="3" t="n">
        <v>19318</v>
      </c>
      <c r="C41" s="3" t="n">
        <v>52728</v>
      </c>
      <c r="D41" s="3" t="n">
        <v>72046</v>
      </c>
      <c r="E41" s="3" t="n">
        <v>3279</v>
      </c>
      <c r="F41" s="3" t="n">
        <v>25233</v>
      </c>
      <c r="G41" s="3" t="n">
        <v>28512</v>
      </c>
      <c r="I41" s="3" t="n">
        <v>3279</v>
      </c>
      <c r="J41" s="3" t="n">
        <v>1012</v>
      </c>
      <c r="K41" s="3" t="n">
        <v>3485</v>
      </c>
      <c r="L41" s="3" t="n">
        <v>4497</v>
      </c>
      <c r="M41" s="3" t="n">
        <v>19318</v>
      </c>
      <c r="N41" s="3" t="n">
        <v>1012</v>
      </c>
    </row>
    <row r="42" customFormat="false" ht="14.65" hidden="false" customHeight="false" outlineLevel="0" collapsed="false">
      <c r="A42" s="4" t="s">
        <v>44</v>
      </c>
      <c r="B42" s="3" t="n">
        <v>87218</v>
      </c>
      <c r="C42" s="3" t="n">
        <v>196244</v>
      </c>
      <c r="D42" s="3" t="n">
        <v>283462</v>
      </c>
      <c r="E42" s="3" t="n">
        <v>27324</v>
      </c>
      <c r="F42" s="3" t="n">
        <v>285261</v>
      </c>
      <c r="G42" s="3" t="n">
        <v>312585</v>
      </c>
      <c r="I42" s="3" t="n">
        <v>27324</v>
      </c>
      <c r="J42" s="3" t="n">
        <v>8276</v>
      </c>
      <c r="K42" s="3" t="n">
        <v>29153</v>
      </c>
      <c r="L42" s="3" t="n">
        <v>37429</v>
      </c>
      <c r="M42" s="3" t="n">
        <v>87218</v>
      </c>
      <c r="N42" s="3" t="n">
        <v>8276</v>
      </c>
    </row>
    <row r="43" customFormat="false" ht="14.65" hidden="false" customHeight="false" outlineLevel="0" collapsed="false">
      <c r="A43" s="5" t="s">
        <v>45</v>
      </c>
      <c r="B43" s="3" t="n">
        <v>13592</v>
      </c>
      <c r="C43" s="3" t="n">
        <v>114963</v>
      </c>
      <c r="D43" s="3" t="n">
        <v>128555</v>
      </c>
      <c r="E43" s="3" t="n">
        <v>3148</v>
      </c>
      <c r="F43" s="3" t="n">
        <v>74386</v>
      </c>
      <c r="G43" s="3" t="n">
        <v>77534</v>
      </c>
      <c r="I43" s="3" t="n">
        <v>3148</v>
      </c>
      <c r="J43" s="3" t="n">
        <v>3705</v>
      </c>
      <c r="K43" s="3" t="n">
        <v>13662</v>
      </c>
      <c r="L43" s="3" t="n">
        <v>17367</v>
      </c>
      <c r="M43" s="3" t="n">
        <v>13592</v>
      </c>
      <c r="N43" s="3" t="n">
        <v>3705</v>
      </c>
    </row>
    <row r="44" customFormat="false" ht="14.65" hidden="false" customHeight="false" outlineLevel="0" collapsed="false">
      <c r="A44" s="4" t="s">
        <v>46</v>
      </c>
      <c r="B44" s="3" t="n">
        <v>36947</v>
      </c>
      <c r="C44" s="3" t="n">
        <v>118079</v>
      </c>
      <c r="D44" s="3" t="n">
        <v>155026</v>
      </c>
      <c r="E44" s="3" t="n">
        <v>18564</v>
      </c>
      <c r="F44" s="3" t="n">
        <v>59139</v>
      </c>
      <c r="G44" s="3" t="n">
        <v>77703</v>
      </c>
      <c r="I44" s="3" t="n">
        <v>18564</v>
      </c>
      <c r="J44" s="3" t="n">
        <v>3812</v>
      </c>
      <c r="K44" s="3" t="n">
        <v>11724</v>
      </c>
      <c r="L44" s="3" t="n">
        <v>15536</v>
      </c>
      <c r="M44" s="3" t="n">
        <v>36947</v>
      </c>
      <c r="N44" s="3" t="n">
        <v>3812</v>
      </c>
    </row>
    <row r="45" customFormat="false" ht="14.65" hidden="false" customHeight="false" outlineLevel="0" collapsed="false">
      <c r="A45" s="4" t="s">
        <v>47</v>
      </c>
      <c r="B45" s="3" t="n">
        <v>295404</v>
      </c>
      <c r="C45" s="3" t="n">
        <v>265133</v>
      </c>
      <c r="D45" s="3" t="n">
        <v>560537</v>
      </c>
      <c r="E45" s="3" t="n">
        <v>43941</v>
      </c>
      <c r="F45" s="3" t="n">
        <v>124571</v>
      </c>
      <c r="G45" s="3" t="n">
        <v>168512</v>
      </c>
      <c r="I45" s="3" t="n">
        <v>43941</v>
      </c>
      <c r="J45" s="3" t="n">
        <v>7381</v>
      </c>
      <c r="K45" s="3" t="n">
        <v>29968</v>
      </c>
      <c r="L45" s="3" t="n">
        <v>37349</v>
      </c>
      <c r="M45" s="3" t="n">
        <v>295404</v>
      </c>
      <c r="N45" s="3" t="n">
        <v>7381</v>
      </c>
    </row>
    <row r="46" customFormat="false" ht="14.65" hidden="false" customHeight="false" outlineLevel="0" collapsed="false">
      <c r="A46" s="4" t="s">
        <v>48</v>
      </c>
      <c r="B46" s="3" t="n">
        <v>4734</v>
      </c>
      <c r="C46" s="3" t="n">
        <v>20313</v>
      </c>
      <c r="D46" s="3" t="n">
        <v>25047</v>
      </c>
      <c r="E46" s="3" t="n">
        <v>2051</v>
      </c>
      <c r="F46" s="3" t="n">
        <v>4680</v>
      </c>
      <c r="G46" s="3" t="n">
        <v>6731</v>
      </c>
      <c r="I46" s="3" t="n">
        <v>2051</v>
      </c>
      <c r="J46" s="3" t="n">
        <v>278</v>
      </c>
      <c r="K46" s="3" t="n">
        <v>851</v>
      </c>
      <c r="L46" s="3" t="n">
        <v>1129</v>
      </c>
      <c r="M46" s="3" t="n">
        <v>4734</v>
      </c>
      <c r="N46" s="3" t="n">
        <v>278</v>
      </c>
    </row>
    <row r="47" customFormat="false" ht="14.65" hidden="false" customHeight="false" outlineLevel="0" collapsed="false">
      <c r="A47" s="5" t="s">
        <v>49</v>
      </c>
      <c r="B47" s="3" t="n">
        <v>25330</v>
      </c>
      <c r="C47" s="3" t="n">
        <v>198089</v>
      </c>
      <c r="D47" s="3" t="n">
        <v>223419</v>
      </c>
      <c r="E47" s="3" t="n">
        <v>0</v>
      </c>
      <c r="F47" s="3" t="n">
        <v>15895</v>
      </c>
      <c r="G47" s="3" t="n">
        <v>15895</v>
      </c>
      <c r="I47" s="3" t="n">
        <v>0</v>
      </c>
      <c r="J47" s="3" t="n">
        <v>5945</v>
      </c>
      <c r="K47" s="3" t="n">
        <v>15168</v>
      </c>
      <c r="L47" s="3" t="n">
        <v>21113</v>
      </c>
      <c r="M47" s="3" t="n">
        <v>25330</v>
      </c>
      <c r="N47" s="3" t="n">
        <v>5945</v>
      </c>
    </row>
    <row r="48" customFormat="false" ht="14.65" hidden="false" customHeight="false" outlineLevel="0" collapsed="false">
      <c r="A48" s="4" t="s">
        <v>50</v>
      </c>
      <c r="B48" s="3" t="n">
        <v>22248</v>
      </c>
      <c r="C48" s="3" t="n">
        <v>111723</v>
      </c>
      <c r="D48" s="3" t="n">
        <v>133971</v>
      </c>
      <c r="E48" s="3" t="n">
        <v>5088</v>
      </c>
      <c r="F48" s="3" t="n">
        <v>24580</v>
      </c>
      <c r="G48" s="3" t="n">
        <v>29668</v>
      </c>
      <c r="I48" s="3" t="n">
        <v>5088</v>
      </c>
      <c r="J48" s="3" t="n">
        <v>1354</v>
      </c>
      <c r="K48" s="3" t="n">
        <v>4324</v>
      </c>
      <c r="L48" s="3" t="n">
        <v>5678</v>
      </c>
      <c r="M48" s="3" t="n">
        <v>22248</v>
      </c>
      <c r="N48" s="3" t="n">
        <v>1354</v>
      </c>
    </row>
    <row r="49" customFormat="false" ht="14.65" hidden="false" customHeight="false" outlineLevel="0" collapsed="false">
      <c r="A49" s="4" t="s">
        <v>51</v>
      </c>
      <c r="B49" s="3" t="n">
        <v>37419</v>
      </c>
      <c r="C49" s="3" t="n">
        <v>343240</v>
      </c>
      <c r="D49" s="3" t="n">
        <v>380659</v>
      </c>
      <c r="E49" s="3" t="n">
        <v>27008</v>
      </c>
      <c r="F49" s="3" t="n">
        <v>108025</v>
      </c>
      <c r="G49" s="3" t="n">
        <v>135033</v>
      </c>
      <c r="I49" s="3" t="n">
        <v>27008</v>
      </c>
      <c r="J49" s="3" t="n">
        <v>6603</v>
      </c>
      <c r="K49" s="3" t="n">
        <v>15998</v>
      </c>
      <c r="L49" s="3" t="n">
        <v>22601</v>
      </c>
      <c r="M49" s="3" t="n">
        <v>37419</v>
      </c>
      <c r="N49" s="3" t="n">
        <v>6603</v>
      </c>
    </row>
    <row r="50" customFormat="false" ht="14.65" hidden="false" customHeight="false" outlineLevel="0" collapsed="false">
      <c r="A50" s="4" t="s">
        <v>52</v>
      </c>
      <c r="B50" s="3" t="n">
        <v>156428</v>
      </c>
      <c r="C50" s="3" t="n">
        <v>807390</v>
      </c>
      <c r="D50" s="3" t="n">
        <v>963818</v>
      </c>
      <c r="E50" s="3" t="n">
        <v>162540</v>
      </c>
      <c r="F50" s="3" t="n">
        <v>355502</v>
      </c>
      <c r="G50" s="3" t="n">
        <v>518042</v>
      </c>
      <c r="I50" s="3" t="n">
        <v>162540</v>
      </c>
      <c r="J50" s="3" t="n">
        <v>12612</v>
      </c>
      <c r="K50" s="3" t="n">
        <v>44556</v>
      </c>
      <c r="L50" s="3" t="n">
        <v>57168</v>
      </c>
      <c r="M50" s="3" t="n">
        <v>156428</v>
      </c>
      <c r="N50" s="3" t="n">
        <v>12612</v>
      </c>
    </row>
    <row r="51" customFormat="false" ht="14.65" hidden="false" customHeight="false" outlineLevel="0" collapsed="false">
      <c r="A51" s="5" t="s">
        <v>53</v>
      </c>
      <c r="B51" s="3" t="n">
        <v>36446</v>
      </c>
      <c r="C51" s="3" t="n">
        <v>77545</v>
      </c>
      <c r="D51" s="3" t="n">
        <v>113991</v>
      </c>
      <c r="E51" s="3" t="n">
        <v>12500</v>
      </c>
      <c r="F51" s="3" t="n">
        <v>20560</v>
      </c>
      <c r="G51" s="3" t="n">
        <v>33060</v>
      </c>
      <c r="I51" s="3" t="n">
        <v>12500</v>
      </c>
      <c r="J51" s="3" t="n">
        <v>2309</v>
      </c>
      <c r="K51" s="3" t="n">
        <v>3633</v>
      </c>
      <c r="L51" s="3" t="n">
        <v>5942</v>
      </c>
      <c r="M51" s="3" t="n">
        <v>36446</v>
      </c>
      <c r="N51" s="3" t="n">
        <v>2309</v>
      </c>
    </row>
    <row r="52" customFormat="false" ht="14.65" hidden="false" customHeight="false" outlineLevel="0" collapsed="false">
      <c r="A52" s="4" t="s">
        <v>54</v>
      </c>
      <c r="B52" s="3" t="n">
        <v>13511</v>
      </c>
      <c r="C52" s="3" t="n">
        <v>48863</v>
      </c>
      <c r="D52" s="3" t="n">
        <v>62374</v>
      </c>
      <c r="E52" s="3" t="n">
        <v>1432</v>
      </c>
      <c r="F52" s="3" t="n">
        <v>7378</v>
      </c>
      <c r="G52" s="3" t="n">
        <v>8810</v>
      </c>
      <c r="I52" s="3" t="n">
        <v>1432</v>
      </c>
      <c r="J52" s="3" t="n">
        <v>1011</v>
      </c>
      <c r="K52" s="3" t="n">
        <v>3304</v>
      </c>
      <c r="L52" s="3" t="n">
        <v>4315</v>
      </c>
      <c r="M52" s="3" t="n">
        <v>13511</v>
      </c>
      <c r="N52" s="3" t="n">
        <v>1011</v>
      </c>
    </row>
    <row r="53" customFormat="false" ht="14.65" hidden="false" customHeight="false" outlineLevel="0" collapsed="false">
      <c r="A53" s="4" t="s">
        <v>55</v>
      </c>
      <c r="B53" s="3" t="n">
        <v>46316</v>
      </c>
      <c r="C53" s="3" t="n">
        <v>182575</v>
      </c>
      <c r="D53" s="3" t="n">
        <v>228891</v>
      </c>
      <c r="E53" s="3" t="n">
        <v>66071</v>
      </c>
      <c r="F53" s="3" t="n">
        <v>157167</v>
      </c>
      <c r="G53" s="3" t="n">
        <v>223238</v>
      </c>
      <c r="I53" s="3" t="n">
        <v>66071</v>
      </c>
      <c r="J53" s="3" t="n">
        <v>7511</v>
      </c>
      <c r="K53" s="3" t="n">
        <v>22259</v>
      </c>
      <c r="L53" s="3" t="n">
        <v>29770</v>
      </c>
      <c r="M53" s="3" t="n">
        <v>46316</v>
      </c>
      <c r="N53" s="3" t="n">
        <v>7511</v>
      </c>
    </row>
    <row r="54" customFormat="false" ht="14.65" hidden="false" customHeight="false" outlineLevel="0" collapsed="false">
      <c r="A54" s="4" t="s">
        <v>56</v>
      </c>
      <c r="B54" s="3" t="n">
        <v>26177</v>
      </c>
      <c r="C54" s="3" t="n">
        <v>234796</v>
      </c>
      <c r="D54" s="3" t="n">
        <v>260973</v>
      </c>
      <c r="E54" s="3" t="n">
        <v>7031</v>
      </c>
      <c r="F54" s="3" t="n">
        <v>26629</v>
      </c>
      <c r="G54" s="3" t="n">
        <v>33660</v>
      </c>
      <c r="I54" s="3" t="n">
        <v>7031</v>
      </c>
      <c r="J54" s="3" t="n">
        <v>3563</v>
      </c>
      <c r="K54" s="3" t="n">
        <v>13129</v>
      </c>
      <c r="L54" s="3" t="n">
        <v>16692</v>
      </c>
      <c r="M54" s="3" t="n">
        <v>26177</v>
      </c>
      <c r="N54" s="3" t="n">
        <v>3563</v>
      </c>
    </row>
    <row r="55" customFormat="false" ht="14.65" hidden="false" customHeight="false" outlineLevel="0" collapsed="false">
      <c r="A55" s="5" t="s">
        <v>57</v>
      </c>
      <c r="B55" s="3" t="n">
        <v>37245</v>
      </c>
      <c r="C55" s="3" t="n">
        <v>290280</v>
      </c>
      <c r="D55" s="3" t="n">
        <v>327525</v>
      </c>
      <c r="E55" s="3" t="n">
        <v>15215</v>
      </c>
      <c r="F55" s="3" t="n">
        <v>65377</v>
      </c>
      <c r="G55" s="3" t="n">
        <v>80592</v>
      </c>
      <c r="I55" s="3" t="n">
        <v>15215</v>
      </c>
      <c r="J55" s="3" t="n">
        <v>2979</v>
      </c>
      <c r="K55" s="3" t="n">
        <v>8853</v>
      </c>
      <c r="L55" s="3" t="n">
        <v>11832</v>
      </c>
      <c r="M55" s="3" t="n">
        <v>37245</v>
      </c>
      <c r="N55" s="3" t="n">
        <v>2979</v>
      </c>
    </row>
    <row r="56" customFormat="false" ht="14.65" hidden="false" customHeight="false" outlineLevel="0" collapsed="false">
      <c r="A56" s="4" t="s">
        <v>58</v>
      </c>
      <c r="B56" s="3" t="n">
        <v>36422</v>
      </c>
      <c r="C56" s="3" t="n">
        <v>381434</v>
      </c>
      <c r="D56" s="3" t="n">
        <v>417856</v>
      </c>
      <c r="E56" s="3" t="n">
        <v>4988</v>
      </c>
      <c r="F56" s="3" t="n">
        <v>57700</v>
      </c>
      <c r="G56" s="3" t="n">
        <v>62688</v>
      </c>
      <c r="I56" s="3" t="n">
        <v>4988</v>
      </c>
      <c r="J56" s="3" t="n">
        <v>4236</v>
      </c>
      <c r="K56" s="3" t="n">
        <v>20781</v>
      </c>
      <c r="L56" s="3" t="n">
        <v>25017</v>
      </c>
      <c r="M56" s="3" t="n">
        <v>36422</v>
      </c>
      <c r="N56" s="3" t="n">
        <v>4236</v>
      </c>
    </row>
    <row r="57" customFormat="false" ht="14.65" hidden="false" customHeight="false" outlineLevel="0" collapsed="false">
      <c r="A57" s="4" t="s">
        <v>59</v>
      </c>
      <c r="B57" s="3" t="n">
        <v>39675</v>
      </c>
      <c r="C57" s="3" t="n">
        <v>93466</v>
      </c>
      <c r="D57" s="3" t="n">
        <v>133141</v>
      </c>
      <c r="E57" s="3" t="n">
        <v>5815</v>
      </c>
      <c r="F57" s="3" t="n">
        <v>21789</v>
      </c>
      <c r="G57" s="3" t="n">
        <v>27604</v>
      </c>
      <c r="I57" s="3" t="n">
        <v>5815</v>
      </c>
      <c r="J57" s="3" t="n">
        <v>1746</v>
      </c>
      <c r="K57" s="3" t="n">
        <v>2858</v>
      </c>
      <c r="L57" s="3" t="n">
        <v>4604</v>
      </c>
      <c r="M57" s="3" t="n">
        <v>39675</v>
      </c>
      <c r="N57" s="3" t="n">
        <v>1746</v>
      </c>
    </row>
    <row r="58" customFormat="false" ht="14.65" hidden="false" customHeight="false" outlineLevel="0" collapsed="false">
      <c r="A58" s="5" t="s">
        <v>60</v>
      </c>
    </row>
    <row r="59" customFormat="false" ht="14.65" hidden="false" customHeight="false" outlineLevel="0" collapsed="false">
      <c r="A59" s="6" t="s">
        <v>61</v>
      </c>
      <c r="B59" s="3" t="n">
        <v>2901833</v>
      </c>
      <c r="C59" s="3" t="e">
        <f aca="false">#REF!</f>
        <v>#VALUE!</v>
      </c>
      <c r="D59" s="3" t="n">
        <v>12369665</v>
      </c>
      <c r="E59" s="3" t="n">
        <v>790142</v>
      </c>
      <c r="F59" s="3" t="e">
        <f aca="false">#REF!</f>
        <v>#VALUE!</v>
      </c>
      <c r="G59" s="3" t="n">
        <v>3626911</v>
      </c>
      <c r="I59" s="3" t="n">
        <v>790142</v>
      </c>
      <c r="J59" s="29" t="n">
        <f aca="false">SUM(J7:J57)</f>
        <v>205557</v>
      </c>
      <c r="K59" s="29" t="n">
        <f aca="false">SUM(K7:K57)</f>
        <v>678540</v>
      </c>
      <c r="L59" s="29" t="n">
        <f aca="false">SUM(L7:L57)</f>
        <v>884097</v>
      </c>
      <c r="M59" s="3" t="n">
        <v>2901833</v>
      </c>
      <c r="N59" s="29" t="n">
        <f aca="false">SUM(N7:N57)</f>
        <v>205557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:G54 B3:G54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19" t="s">
        <v>108</v>
      </c>
      <c r="B1" s="30"/>
      <c r="C1" s="30"/>
      <c r="D1" s="30"/>
      <c r="E1" s="30"/>
      <c r="F1" s="30"/>
      <c r="G1" s="30"/>
      <c r="H1" s="30"/>
      <c r="I1" s="30"/>
      <c r="J1" s="3" t="s">
        <v>277</v>
      </c>
      <c r="K1" s="3" t="s">
        <v>277</v>
      </c>
      <c r="L1" s="3" t="s">
        <v>235</v>
      </c>
      <c r="M1" s="3" t="s">
        <v>235</v>
      </c>
      <c r="S1" s="3" t="s">
        <v>238</v>
      </c>
    </row>
    <row r="2" customFormat="false" ht="14.65" hidden="false" customHeight="false" outlineLevel="0" collapsed="false">
      <c r="A2" s="1"/>
      <c r="B2" s="17" t="s">
        <v>291</v>
      </c>
      <c r="C2" s="17" t="s">
        <v>292</v>
      </c>
      <c r="D2" s="17" t="s">
        <v>293</v>
      </c>
      <c r="E2" s="17" t="s">
        <v>294</v>
      </c>
      <c r="F2" s="17" t="s">
        <v>295</v>
      </c>
      <c r="G2" s="17" t="s">
        <v>296</v>
      </c>
      <c r="H2" s="20"/>
      <c r="I2" s="20"/>
      <c r="J2" s="3" t="s">
        <v>236</v>
      </c>
      <c r="K2" s="3" t="s">
        <v>290</v>
      </c>
      <c r="L2" s="3" t="s">
        <v>297</v>
      </c>
      <c r="M2" s="3" t="s">
        <v>290</v>
      </c>
      <c r="S2" s="1" t="s">
        <v>298</v>
      </c>
    </row>
    <row r="3" customFormat="false" ht="14.65" hidden="false" customHeight="false" outlineLevel="0" collapsed="false">
      <c r="A3" s="17"/>
      <c r="B3" s="17" t="s">
        <v>120</v>
      </c>
      <c r="C3" s="17" t="s">
        <v>206</v>
      </c>
      <c r="D3" s="17" t="s">
        <v>123</v>
      </c>
      <c r="E3" s="17" t="s">
        <v>207</v>
      </c>
      <c r="F3" s="17" t="s">
        <v>208</v>
      </c>
      <c r="G3" s="17" t="s">
        <v>209</v>
      </c>
      <c r="H3" s="17" t="s">
        <v>299</v>
      </c>
      <c r="I3" s="17" t="s">
        <v>300</v>
      </c>
      <c r="J3" s="17" t="s">
        <v>301</v>
      </c>
      <c r="K3" s="17" t="s">
        <v>302</v>
      </c>
      <c r="L3" s="17" t="s">
        <v>303</v>
      </c>
      <c r="M3" s="17" t="s">
        <v>304</v>
      </c>
      <c r="N3" s="17" t="s">
        <v>305</v>
      </c>
      <c r="O3" s="17" t="s">
        <v>306</v>
      </c>
      <c r="P3" s="17" t="s">
        <v>307</v>
      </c>
      <c r="Q3" s="17" t="s">
        <v>308</v>
      </c>
      <c r="R3" s="17" t="s">
        <v>309</v>
      </c>
      <c r="S3" s="17" t="s">
        <v>310</v>
      </c>
      <c r="T3" s="17" t="s">
        <v>311</v>
      </c>
    </row>
    <row r="4" customFormat="false" ht="14.65" hidden="false" customHeight="false" outlineLevel="0" collapsed="false">
      <c r="A4" s="4" t="s">
        <v>8</v>
      </c>
      <c r="B4" s="18" t="n">
        <v>0</v>
      </c>
      <c r="C4" s="18" t="n">
        <v>0</v>
      </c>
      <c r="D4" s="18" t="n">
        <v>0</v>
      </c>
      <c r="E4" s="18" t="n">
        <v>1</v>
      </c>
      <c r="F4" s="18" t="n">
        <v>0</v>
      </c>
      <c r="G4" s="18" t="n">
        <v>0</v>
      </c>
      <c r="H4" s="18" t="n">
        <f aca="false">+J4+K4</f>
        <v>22803</v>
      </c>
      <c r="I4" s="18" t="n">
        <f aca="false">+L4+M4</f>
        <v>22959</v>
      </c>
      <c r="J4" s="3" t="n">
        <v>4442</v>
      </c>
      <c r="K4" s="3" t="n">
        <v>18361</v>
      </c>
      <c r="L4" s="3" t="n">
        <f aca="false">4208+326</f>
        <v>4534</v>
      </c>
      <c r="M4" s="3" t="n">
        <v>18425</v>
      </c>
      <c r="N4" s="3" t="n">
        <f aca="false">+J4+L4</f>
        <v>8976</v>
      </c>
      <c r="O4" s="27" t="n">
        <f aca="false">+L4/N4</f>
        <v>0.505124777183601</v>
      </c>
      <c r="P4" s="3" t="n">
        <f aca="false">+K4+M4</f>
        <v>36786</v>
      </c>
      <c r="Q4" s="27" t="n">
        <f aca="false">+M4/P4</f>
        <v>0.500869896156146</v>
      </c>
      <c r="R4" s="27" t="n">
        <f aca="false">+N4+P4</f>
        <v>45762</v>
      </c>
      <c r="S4" s="31" t="n">
        <v>434361</v>
      </c>
      <c r="T4" s="27" t="n">
        <f aca="false">+(L4+M4)/R4</f>
        <v>0.501704470958437</v>
      </c>
    </row>
    <row r="5" customFormat="false" ht="14.65" hidden="false" customHeight="false" outlineLevel="0" collapsed="false">
      <c r="A5" s="4" t="s">
        <v>9</v>
      </c>
      <c r="B5" s="18" t="n">
        <v>1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f aca="false">+J5+K5</f>
        <v>2005</v>
      </c>
      <c r="I5" s="18" t="n">
        <f aca="false">+L5+M5</f>
        <v>1836</v>
      </c>
      <c r="J5" s="3" t="n">
        <v>677</v>
      </c>
      <c r="K5" s="3" t="n">
        <v>1328</v>
      </c>
      <c r="L5" s="3" t="n">
        <v>450</v>
      </c>
      <c r="M5" s="3" t="n">
        <v>1386</v>
      </c>
      <c r="N5" s="3" t="n">
        <f aca="false">+J5+L5</f>
        <v>1127</v>
      </c>
      <c r="O5" s="27" t="n">
        <f aca="false">+L5/N5</f>
        <v>0.399290150842946</v>
      </c>
      <c r="P5" s="3" t="n">
        <f aca="false">+K5+M5</f>
        <v>2714</v>
      </c>
      <c r="Q5" s="27" t="n">
        <f aca="false">+M5/P5</f>
        <v>0.510685335298453</v>
      </c>
      <c r="R5" s="27" t="n">
        <f aca="false">+N5+P5</f>
        <v>3841</v>
      </c>
      <c r="S5" s="31" t="n">
        <v>156897</v>
      </c>
      <c r="T5" s="27" t="n">
        <f aca="false">+(L5+M5)/R5</f>
        <v>0.478000520697735</v>
      </c>
    </row>
    <row r="6" customFormat="false" ht="14.65" hidden="false" customHeight="false" outlineLevel="0" collapsed="false">
      <c r="A6" s="4" t="s">
        <v>10</v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f aca="false">+J6+K6</f>
        <v>13788</v>
      </c>
      <c r="I6" s="18" t="n">
        <f aca="false">+L6+M6</f>
        <v>21259</v>
      </c>
      <c r="J6" s="3" t="n">
        <v>5110</v>
      </c>
      <c r="K6" s="3" t="n">
        <v>8678</v>
      </c>
      <c r="L6" s="3" t="n">
        <f aca="false">3003+1344</f>
        <v>4347</v>
      </c>
      <c r="M6" s="3" t="n">
        <v>16912</v>
      </c>
      <c r="N6" s="3" t="n">
        <f aca="false">+J6+L6</f>
        <v>9457</v>
      </c>
      <c r="O6" s="27" t="n">
        <f aca="false">+L6/N6</f>
        <v>0.459659511472983</v>
      </c>
      <c r="P6" s="3" t="n">
        <f aca="false">+K6+M6</f>
        <v>25590</v>
      </c>
      <c r="Q6" s="27" t="n">
        <f aca="false">+M6/P6</f>
        <v>0.660883157483392</v>
      </c>
      <c r="R6" s="27" t="n">
        <f aca="false">+N6+P6</f>
        <v>35047</v>
      </c>
      <c r="S6" s="31" t="n">
        <v>164064</v>
      </c>
      <c r="T6" s="27" t="n">
        <f aca="false">+(L6+M6)/R6</f>
        <v>0.606585442405912</v>
      </c>
    </row>
    <row r="7" customFormat="false" ht="14.65" hidden="false" customHeight="false" outlineLevel="0" collapsed="false">
      <c r="A7" s="4" t="s">
        <v>11</v>
      </c>
      <c r="B7" s="18" t="n">
        <v>0</v>
      </c>
      <c r="C7" s="18" t="n">
        <v>0</v>
      </c>
      <c r="D7" s="18" t="n">
        <v>0</v>
      </c>
      <c r="E7" s="18" t="n">
        <v>1</v>
      </c>
      <c r="F7" s="18" t="n">
        <v>0</v>
      </c>
      <c r="G7" s="18" t="n">
        <v>0</v>
      </c>
      <c r="H7" s="18" t="n">
        <f aca="false">+J7+K7</f>
        <v>15048</v>
      </c>
      <c r="I7" s="18" t="n">
        <f aca="false">+L7+M7</f>
        <v>8033</v>
      </c>
      <c r="J7" s="3" t="n">
        <v>3140</v>
      </c>
      <c r="K7" s="3" t="n">
        <v>11908</v>
      </c>
      <c r="L7" s="3" t="n">
        <f aca="false">1758+717</f>
        <v>2475</v>
      </c>
      <c r="M7" s="3" t="n">
        <v>5558</v>
      </c>
      <c r="N7" s="3" t="n">
        <f aca="false">+J7+L7</f>
        <v>5615</v>
      </c>
      <c r="O7" s="27" t="n">
        <f aca="false">+L7/N7</f>
        <v>0.440783615316118</v>
      </c>
      <c r="P7" s="3" t="n">
        <f aca="false">+K7+M7</f>
        <v>17466</v>
      </c>
      <c r="Q7" s="27" t="n">
        <f aca="false">+M7/P7</f>
        <v>0.318218252605061</v>
      </c>
      <c r="R7" s="27" t="n">
        <f aca="false">+N7+P7</f>
        <v>23081</v>
      </c>
      <c r="S7" s="31" t="n">
        <v>243921</v>
      </c>
      <c r="T7" s="27" t="n">
        <f aca="false">+(L7+M7)/R7</f>
        <v>0.348035180451454</v>
      </c>
    </row>
    <row r="8" customFormat="false" ht="14.65" hidden="false" customHeight="false" outlineLevel="0" collapsed="false">
      <c r="A8" s="5" t="s">
        <v>12</v>
      </c>
      <c r="B8" s="18" t="n">
        <v>0</v>
      </c>
      <c r="C8" s="18" t="n">
        <v>0</v>
      </c>
      <c r="D8" s="18" t="n">
        <v>1</v>
      </c>
      <c r="E8" s="18" t="n">
        <v>0</v>
      </c>
      <c r="F8" s="18" t="n">
        <v>0</v>
      </c>
      <c r="G8" s="18" t="n">
        <v>0</v>
      </c>
      <c r="H8" s="18" t="n">
        <f aca="false">+J8+K8</f>
        <v>52197</v>
      </c>
      <c r="I8" s="18" t="n">
        <f aca="false">+L8+M8</f>
        <v>210351</v>
      </c>
      <c r="J8" s="3" t="n">
        <v>14322</v>
      </c>
      <c r="K8" s="3" t="n">
        <v>37875</v>
      </c>
      <c r="L8" s="3" t="n">
        <f aca="false">52566+42332</f>
        <v>94898</v>
      </c>
      <c r="M8" s="3" t="n">
        <v>115453</v>
      </c>
      <c r="N8" s="3" t="n">
        <f aca="false">+J8+L8</f>
        <v>109220</v>
      </c>
      <c r="O8" s="27" t="n">
        <f aca="false">+L8/N8</f>
        <v>0.86887017029848</v>
      </c>
      <c r="P8" s="3" t="n">
        <f aca="false">+K8+M8</f>
        <v>153328</v>
      </c>
      <c r="Q8" s="27" t="n">
        <f aca="false">+M8/P8</f>
        <v>0.752980538453511</v>
      </c>
      <c r="R8" s="27" t="n">
        <f aca="false">+N8+P8</f>
        <v>262548</v>
      </c>
      <c r="S8" s="32" t="n">
        <v>1988584</v>
      </c>
      <c r="T8" s="27" t="n">
        <f aca="false">+(L8+M8)/R8</f>
        <v>0.801190639425934</v>
      </c>
    </row>
    <row r="9" customFormat="false" ht="14.65" hidden="false" customHeight="false" outlineLevel="0" collapsed="false">
      <c r="A9" s="4" t="s">
        <v>13</v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f aca="false">+J9+K9</f>
        <v>12574</v>
      </c>
      <c r="I9" s="18" t="n">
        <f aca="false">+L9+M9</f>
        <v>18234</v>
      </c>
      <c r="J9" s="3" t="n">
        <v>3661</v>
      </c>
      <c r="K9" s="3" t="n">
        <v>8913</v>
      </c>
      <c r="L9" s="3" t="n">
        <f aca="false">3793+2406</f>
        <v>6199</v>
      </c>
      <c r="M9" s="3" t="n">
        <v>12035</v>
      </c>
      <c r="N9" s="3" t="n">
        <f aca="false">+J9+L9</f>
        <v>9860</v>
      </c>
      <c r="O9" s="27" t="n">
        <f aca="false">+L9/N9</f>
        <v>0.628701825557809</v>
      </c>
      <c r="P9" s="3" t="n">
        <f aca="false">+K9+M9</f>
        <v>20948</v>
      </c>
      <c r="Q9" s="27" t="n">
        <f aca="false">+M9/P9</f>
        <v>0.574517853733053</v>
      </c>
      <c r="R9" s="27" t="n">
        <f aca="false">+N9+P9</f>
        <v>30808</v>
      </c>
      <c r="S9" s="31" t="n">
        <v>365326</v>
      </c>
      <c r="T9" s="27" t="n">
        <f aca="false">+(L9+M9)/R9</f>
        <v>0.591859257335757</v>
      </c>
    </row>
    <row r="10" customFormat="false" ht="14.65" hidden="false" customHeight="false" outlineLevel="0" collapsed="false">
      <c r="A10" s="4" t="s">
        <v>14</v>
      </c>
      <c r="B10" s="18" t="n">
        <v>0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1</v>
      </c>
      <c r="H10" s="18" t="n">
        <f aca="false">+J10+K10</f>
        <v>6068</v>
      </c>
      <c r="I10" s="18" t="n">
        <f aca="false">+L10+M10</f>
        <v>20391</v>
      </c>
      <c r="J10" s="3" t="n">
        <v>1357</v>
      </c>
      <c r="K10" s="3" t="n">
        <v>4711</v>
      </c>
      <c r="L10" s="3" t="n">
        <f aca="false">6758+2623</f>
        <v>9381</v>
      </c>
      <c r="M10" s="3" t="n">
        <v>11010</v>
      </c>
      <c r="N10" s="3" t="n">
        <f aca="false">+J10+L10</f>
        <v>10738</v>
      </c>
      <c r="O10" s="27" t="n">
        <f aca="false">+L10/N10</f>
        <v>0.873626373626374</v>
      </c>
      <c r="P10" s="3" t="n">
        <f aca="false">+K10+M10</f>
        <v>15721</v>
      </c>
      <c r="Q10" s="27" t="n">
        <f aca="false">+M10/P10</f>
        <v>0.700337128681382</v>
      </c>
      <c r="R10" s="27" t="n">
        <f aca="false">+N10+P10</f>
        <v>26459</v>
      </c>
      <c r="S10" s="31" t="n">
        <v>217091</v>
      </c>
      <c r="T10" s="27" t="n">
        <f aca="false">+(L10+M10)/R10</f>
        <v>0.770664046260252</v>
      </c>
    </row>
    <row r="11" customFormat="false" ht="14.65" hidden="false" customHeight="false" outlineLevel="0" collapsed="false">
      <c r="A11" s="4" t="s">
        <v>15</v>
      </c>
      <c r="B11" s="18" t="n">
        <v>0</v>
      </c>
      <c r="C11" s="18" t="n">
        <v>0</v>
      </c>
      <c r="D11" s="18" t="n">
        <v>0</v>
      </c>
      <c r="E11" s="18" t="n">
        <v>1</v>
      </c>
      <c r="F11" s="18" t="n">
        <v>0</v>
      </c>
      <c r="G11" s="18" t="n">
        <v>0</v>
      </c>
      <c r="H11" s="18" t="n">
        <f aca="false">+J11+K11</f>
        <v>2685</v>
      </c>
      <c r="I11" s="18" t="n">
        <f aca="false">+L11+M11</f>
        <v>4207</v>
      </c>
      <c r="J11" s="3" t="n">
        <v>0</v>
      </c>
      <c r="K11" s="3" t="n">
        <v>2685</v>
      </c>
      <c r="L11" s="3" t="n">
        <f aca="false">989+38</f>
        <v>1027</v>
      </c>
      <c r="M11" s="3" t="n">
        <v>3180</v>
      </c>
      <c r="N11" s="3" t="n">
        <f aca="false">+J11+L11</f>
        <v>1027</v>
      </c>
      <c r="O11" s="27" t="n">
        <f aca="false">+L11/N11</f>
        <v>1</v>
      </c>
      <c r="P11" s="3" t="n">
        <f aca="false">+K11+M11</f>
        <v>5865</v>
      </c>
      <c r="Q11" s="27" t="n">
        <f aca="false">+M11/P11</f>
        <v>0.542199488491049</v>
      </c>
      <c r="R11" s="27" t="n">
        <f aca="false">+N11+P11</f>
        <v>6892</v>
      </c>
      <c r="S11" s="31" t="n">
        <v>63710</v>
      </c>
      <c r="T11" s="27" t="n">
        <f aca="false">+(L11+M11)/R11</f>
        <v>0.610417875798027</v>
      </c>
    </row>
    <row r="12" customFormat="false" ht="14.65" hidden="false" customHeight="false" outlineLevel="0" collapsed="false">
      <c r="A12" s="5" t="s">
        <v>16</v>
      </c>
      <c r="B12" s="18" t="n">
        <v>0</v>
      </c>
      <c r="C12" s="18" t="n">
        <v>0</v>
      </c>
      <c r="D12" s="18" t="n">
        <v>0</v>
      </c>
      <c r="E12" s="18" t="n">
        <v>1</v>
      </c>
      <c r="F12" s="18" t="n">
        <v>0</v>
      </c>
      <c r="G12" s="18" t="n">
        <v>0</v>
      </c>
      <c r="H12" s="18" t="n">
        <f aca="false">+J12+K12</f>
        <v>0</v>
      </c>
      <c r="I12" s="18" t="n">
        <f aca="false">+L12+M12</f>
        <v>3562</v>
      </c>
      <c r="J12" s="3" t="n">
        <v>0</v>
      </c>
      <c r="K12" s="3" t="n">
        <v>0</v>
      </c>
      <c r="L12" s="3" t="n">
        <f aca="false">469+393</f>
        <v>862</v>
      </c>
      <c r="M12" s="3" t="n">
        <v>2700</v>
      </c>
      <c r="N12" s="3" t="n">
        <f aca="false">+J12+L12</f>
        <v>862</v>
      </c>
      <c r="O12" s="27" t="n">
        <f aca="false">+L12/N12</f>
        <v>1</v>
      </c>
      <c r="P12" s="3" t="n">
        <f aca="false">+K12+M12</f>
        <v>2700</v>
      </c>
      <c r="Q12" s="27" t="n">
        <f aca="false">+M12/P12</f>
        <v>1</v>
      </c>
      <c r="R12" s="27" t="n">
        <f aca="false">+N12+P12</f>
        <v>3562</v>
      </c>
      <c r="S12" s="32" t="n">
        <v>28536</v>
      </c>
      <c r="T12" s="27" t="n">
        <f aca="false">+(L12+M12)/R12</f>
        <v>1</v>
      </c>
    </row>
    <row r="13" customFormat="false" ht="14.65" hidden="false" customHeight="false" outlineLevel="0" collapsed="false">
      <c r="A13" s="4" t="s">
        <v>17</v>
      </c>
      <c r="B13" s="18" t="n">
        <v>0</v>
      </c>
      <c r="C13" s="18" t="n">
        <v>0</v>
      </c>
      <c r="D13" s="18" t="n">
        <v>0</v>
      </c>
      <c r="E13" s="18" t="n">
        <v>1</v>
      </c>
      <c r="F13" s="18" t="n">
        <v>0</v>
      </c>
      <c r="G13" s="18" t="n">
        <v>0</v>
      </c>
      <c r="H13" s="18" t="n">
        <f aca="false">+J13+K13</f>
        <v>35001</v>
      </c>
      <c r="I13" s="18" t="n">
        <f aca="false">+L13+M13</f>
        <v>84867</v>
      </c>
      <c r="J13" s="3" t="n">
        <v>10183</v>
      </c>
      <c r="K13" s="3" t="n">
        <v>24818</v>
      </c>
      <c r="L13" s="3" t="n">
        <f aca="false">12034+4319</f>
        <v>16353</v>
      </c>
      <c r="M13" s="3" t="n">
        <v>68514</v>
      </c>
      <c r="N13" s="3" t="n">
        <f aca="false">+J13+L13</f>
        <v>26536</v>
      </c>
      <c r="O13" s="27" t="n">
        <f aca="false">+L13/N13</f>
        <v>0.616257160084414</v>
      </c>
      <c r="P13" s="3" t="n">
        <f aca="false">+K13+M13</f>
        <v>93332</v>
      </c>
      <c r="Q13" s="27" t="n">
        <f aca="false">+M13/P13</f>
        <v>0.73408905841512</v>
      </c>
      <c r="R13" s="27" t="n">
        <f aca="false">+N13+P13</f>
        <v>119868</v>
      </c>
      <c r="S13" s="31" t="n">
        <v>649505</v>
      </c>
      <c r="T13" s="27" t="n">
        <f aca="false">+(L13+M13)/R13</f>
        <v>0.708003804184603</v>
      </c>
    </row>
    <row r="14" customFormat="false" ht="14.65" hidden="false" customHeight="false" outlineLevel="0" collapsed="false">
      <c r="A14" s="4" t="s">
        <v>18</v>
      </c>
      <c r="B14" s="18" t="n">
        <v>0</v>
      </c>
      <c r="C14" s="18" t="n">
        <v>0</v>
      </c>
      <c r="D14" s="18" t="n">
        <v>0</v>
      </c>
      <c r="E14" s="18" t="n">
        <v>1</v>
      </c>
      <c r="F14" s="18" t="n">
        <v>0</v>
      </c>
      <c r="G14" s="18" t="n">
        <v>0</v>
      </c>
      <c r="H14" s="18" t="n">
        <f aca="false">+J14+K14</f>
        <v>32172</v>
      </c>
      <c r="I14" s="18" t="n">
        <f aca="false">+L14+M14</f>
        <v>45732</v>
      </c>
      <c r="J14" s="3" t="n">
        <v>8419</v>
      </c>
      <c r="K14" s="3" t="n">
        <v>23753</v>
      </c>
      <c r="L14" s="3" t="n">
        <f aca="false">11889+1646</f>
        <v>13535</v>
      </c>
      <c r="M14" s="3" t="n">
        <v>32197</v>
      </c>
      <c r="N14" s="3" t="n">
        <f aca="false">+J14+L14</f>
        <v>21954</v>
      </c>
      <c r="O14" s="27" t="n">
        <f aca="false">+L14/N14</f>
        <v>0.616516352373144</v>
      </c>
      <c r="P14" s="3" t="n">
        <f aca="false">+K14+M14</f>
        <v>55950</v>
      </c>
      <c r="Q14" s="27" t="n">
        <f aca="false">+M14/P14</f>
        <v>0.575460232350313</v>
      </c>
      <c r="R14" s="27" t="n">
        <f aca="false">+N14+P14</f>
        <v>77904</v>
      </c>
      <c r="S14" s="31" t="n">
        <v>446538</v>
      </c>
      <c r="T14" s="27" t="n">
        <f aca="false">+(L14+M14)/R14</f>
        <v>0.587030191004313</v>
      </c>
    </row>
    <row r="15" customFormat="false" ht="14.65" hidden="false" customHeight="false" outlineLevel="0" collapsed="false">
      <c r="A15" s="4" t="s">
        <v>19</v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f aca="false">+J15+K15</f>
        <v>2148</v>
      </c>
      <c r="I15" s="18" t="n">
        <f aca="false">+L15+M15</f>
        <v>5918</v>
      </c>
      <c r="J15" s="3" t="n">
        <v>0</v>
      </c>
      <c r="K15" s="3" t="n">
        <v>2148</v>
      </c>
      <c r="L15" s="3" t="n">
        <f aca="false">1533+804</f>
        <v>2337</v>
      </c>
      <c r="M15" s="3" t="n">
        <v>3581</v>
      </c>
      <c r="N15" s="3" t="n">
        <f aca="false">+J15+L15</f>
        <v>2337</v>
      </c>
      <c r="O15" s="27" t="n">
        <f aca="false">+L15/N15</f>
        <v>1</v>
      </c>
      <c r="P15" s="3" t="n">
        <f aca="false">+K15+M15</f>
        <v>5729</v>
      </c>
      <c r="Q15" s="27" t="n">
        <f aca="false">+M15/P15</f>
        <v>0.625065456449642</v>
      </c>
      <c r="R15" s="27" t="n">
        <f aca="false">+N15+P15</f>
        <v>8066</v>
      </c>
      <c r="S15" s="31" t="n">
        <v>70087</v>
      </c>
      <c r="T15" s="27" t="n">
        <f aca="false">+(L15+M15)/R15</f>
        <v>0.733696999752046</v>
      </c>
    </row>
    <row r="16" customFormat="false" ht="14.65" hidden="false" customHeight="false" outlineLevel="0" collapsed="false">
      <c r="A16" s="5" t="s">
        <v>21</v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f aca="false">+J16+K16</f>
        <v>7207</v>
      </c>
      <c r="I16" s="18" t="n">
        <f aca="false">+L16+M16</f>
        <v>3557</v>
      </c>
      <c r="J16" s="3" t="n">
        <v>1667</v>
      </c>
      <c r="K16" s="3" t="n">
        <v>5540</v>
      </c>
      <c r="L16" s="3" t="n">
        <v>741</v>
      </c>
      <c r="M16" s="3" t="n">
        <v>2816</v>
      </c>
      <c r="N16" s="3" t="n">
        <f aca="false">+J16+L16</f>
        <v>2408</v>
      </c>
      <c r="O16" s="27" t="n">
        <f aca="false">+L16/N16</f>
        <v>0.307724252491694</v>
      </c>
      <c r="P16" s="3" t="n">
        <f aca="false">+K16+M16</f>
        <v>8356</v>
      </c>
      <c r="Q16" s="27" t="n">
        <f aca="false">+M16/P16</f>
        <v>0.337003350885591</v>
      </c>
      <c r="R16" s="27" t="n">
        <f aca="false">+N16+P16</f>
        <v>10764</v>
      </c>
      <c r="S16" s="32" t="n">
        <v>134567</v>
      </c>
      <c r="T16" s="27" t="n">
        <f aca="false">+(L16+M16)/R16</f>
        <v>0.330453363062059</v>
      </c>
    </row>
    <row r="17" customFormat="false" ht="14.65" hidden="false" customHeight="false" outlineLevel="0" collapsed="false">
      <c r="A17" s="4" t="s">
        <v>22</v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1</v>
      </c>
      <c r="G17" s="18" t="n">
        <v>0</v>
      </c>
      <c r="H17" s="18" t="n">
        <f aca="false">+J17+K17</f>
        <v>28254</v>
      </c>
      <c r="I17" s="18" t="n">
        <f aca="false">+L17+M17</f>
        <v>59388</v>
      </c>
      <c r="J17" s="3" t="n">
        <v>8428</v>
      </c>
      <c r="K17" s="3" t="n">
        <v>19826</v>
      </c>
      <c r="L17" s="3" t="n">
        <f aca="false">14447+1047</f>
        <v>15494</v>
      </c>
      <c r="M17" s="3" t="n">
        <v>43894</v>
      </c>
      <c r="N17" s="3" t="n">
        <f aca="false">+J17+L17</f>
        <v>23922</v>
      </c>
      <c r="O17" s="27" t="n">
        <f aca="false">+L17/N17</f>
        <v>0.647688320374551</v>
      </c>
      <c r="P17" s="3" t="n">
        <f aca="false">+K17+M17</f>
        <v>63720</v>
      </c>
      <c r="Q17" s="27" t="n">
        <f aca="false">+M17/P17</f>
        <v>0.688857501569366</v>
      </c>
      <c r="R17" s="27" t="n">
        <f aca="false">+N17+P17</f>
        <v>87642</v>
      </c>
      <c r="S17" s="31" t="n">
        <v>993150</v>
      </c>
      <c r="T17" s="27" t="n">
        <f aca="false">+(L17+M17)/R17</f>
        <v>0.677620319025125</v>
      </c>
    </row>
    <row r="18" customFormat="false" ht="14.65" hidden="false" customHeight="false" outlineLevel="0" collapsed="false">
      <c r="A18" s="4" t="s">
        <v>23</v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1</v>
      </c>
      <c r="G18" s="18" t="n">
        <v>0</v>
      </c>
      <c r="H18" s="18" t="n">
        <f aca="false">+J18+K18</f>
        <v>29252</v>
      </c>
      <c r="I18" s="18" t="n">
        <f aca="false">+L18+M18</f>
        <v>27820</v>
      </c>
      <c r="J18" s="3" t="n">
        <v>6646</v>
      </c>
      <c r="K18" s="3" t="n">
        <v>22606</v>
      </c>
      <c r="L18" s="3" t="n">
        <f aca="false">5537+774</f>
        <v>6311</v>
      </c>
      <c r="M18" s="3" t="n">
        <v>21509</v>
      </c>
      <c r="N18" s="3" t="n">
        <f aca="false">+J18+L18</f>
        <v>12957</v>
      </c>
      <c r="O18" s="27" t="n">
        <f aca="false">+L18/N18</f>
        <v>0.487072624835996</v>
      </c>
      <c r="P18" s="3" t="n">
        <f aca="false">+K18+M18</f>
        <v>44115</v>
      </c>
      <c r="Q18" s="27" t="n">
        <f aca="false">+M18/P18</f>
        <v>0.487566587328573</v>
      </c>
      <c r="R18" s="27" t="n">
        <f aca="false">+N18+P18</f>
        <v>57072</v>
      </c>
      <c r="S18" s="31" t="n">
        <v>416477</v>
      </c>
      <c r="T18" s="27" t="n">
        <f aca="false">+(L18+M18)/R18</f>
        <v>0.487454443509952</v>
      </c>
    </row>
    <row r="19" customFormat="false" ht="14.65" hidden="false" customHeight="false" outlineLevel="0" collapsed="false">
      <c r="A19" s="4" t="s">
        <v>24</v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1</v>
      </c>
      <c r="G19" s="18" t="n">
        <v>0</v>
      </c>
      <c r="H19" s="18" t="n">
        <f aca="false">+J19+K19</f>
        <v>15364</v>
      </c>
      <c r="I19" s="18" t="n">
        <f aca="false">+L19+M19</f>
        <v>8562</v>
      </c>
      <c r="J19" s="3" t="n">
        <v>3406</v>
      </c>
      <c r="K19" s="3" t="n">
        <v>11958</v>
      </c>
      <c r="L19" s="3" t="n">
        <v>1554</v>
      </c>
      <c r="M19" s="3" t="n">
        <v>7008</v>
      </c>
      <c r="N19" s="3" t="n">
        <f aca="false">+J19+L19</f>
        <v>4960</v>
      </c>
      <c r="O19" s="27" t="n">
        <f aca="false">+L19/N19</f>
        <v>0.313306451612903</v>
      </c>
      <c r="P19" s="3" t="n">
        <f aca="false">+K19+M19</f>
        <v>18966</v>
      </c>
      <c r="Q19" s="27" t="n">
        <f aca="false">+M19/P19</f>
        <v>0.369503321733629</v>
      </c>
      <c r="R19" s="27" t="n">
        <f aca="false">+N19+P19</f>
        <v>23926</v>
      </c>
      <c r="S19" s="31" t="n">
        <v>417838</v>
      </c>
      <c r="T19" s="27" t="n">
        <f aca="false">+(L19+M19)/R19</f>
        <v>0.357853381258882</v>
      </c>
    </row>
    <row r="20" customFormat="false" ht="14.65" hidden="false" customHeight="false" outlineLevel="0" collapsed="false">
      <c r="A20" s="5" t="s">
        <v>25</v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1</v>
      </c>
      <c r="G20" s="18" t="n">
        <v>0</v>
      </c>
      <c r="H20" s="18" t="n">
        <f aca="false">+J20+K20</f>
        <v>12890</v>
      </c>
      <c r="I20" s="18" t="n">
        <f aca="false">+L20+M20</f>
        <v>11273</v>
      </c>
      <c r="J20" s="3" t="n">
        <v>2573</v>
      </c>
      <c r="K20" s="3" t="n">
        <v>10317</v>
      </c>
      <c r="L20" s="3" t="n">
        <f aca="false">2233+905</f>
        <v>3138</v>
      </c>
      <c r="M20" s="3" t="n">
        <v>8135</v>
      </c>
      <c r="N20" s="3" t="n">
        <f aca="false">+J20+L20</f>
        <v>5711</v>
      </c>
      <c r="O20" s="27" t="n">
        <f aca="false">+L20/N20</f>
        <v>0.549465942917177</v>
      </c>
      <c r="P20" s="3" t="n">
        <f aca="false">+K20+M20</f>
        <v>18452</v>
      </c>
      <c r="Q20" s="27" t="n">
        <f aca="false">+M20/P20</f>
        <v>0.440873618035985</v>
      </c>
      <c r="R20" s="27" t="n">
        <f aca="false">+N20+P20</f>
        <v>24163</v>
      </c>
      <c r="S20" s="32" t="n">
        <v>277164</v>
      </c>
      <c r="T20" s="27" t="n">
        <f aca="false">+(L20+M20)/R20</f>
        <v>0.466539750858751</v>
      </c>
    </row>
    <row r="21" customFormat="false" ht="14.65" hidden="false" customHeight="false" outlineLevel="0" collapsed="false">
      <c r="A21" s="4" t="s">
        <v>26</v>
      </c>
      <c r="B21" s="18" t="n">
        <v>0</v>
      </c>
      <c r="C21" s="18" t="n">
        <v>0</v>
      </c>
      <c r="D21" s="18" t="n">
        <v>0</v>
      </c>
      <c r="E21" s="18" t="n">
        <v>1</v>
      </c>
      <c r="F21" s="18" t="n">
        <v>0</v>
      </c>
      <c r="G21" s="18" t="n">
        <v>0</v>
      </c>
      <c r="H21" s="18" t="n">
        <f aca="false">+J21+K21</f>
        <v>21393</v>
      </c>
      <c r="I21" s="18" t="n">
        <f aca="false">+L21+M21</f>
        <v>16669</v>
      </c>
      <c r="J21" s="3" t="n">
        <v>4737</v>
      </c>
      <c r="K21" s="3" t="n">
        <v>16656</v>
      </c>
      <c r="L21" s="3" t="n">
        <f aca="false">4384+559</f>
        <v>4943</v>
      </c>
      <c r="M21" s="3" t="n">
        <v>11726</v>
      </c>
      <c r="N21" s="3" t="n">
        <f aca="false">+J21+L21</f>
        <v>9680</v>
      </c>
      <c r="O21" s="27" t="n">
        <f aca="false">+L21/N21</f>
        <v>0.510640495867769</v>
      </c>
      <c r="P21" s="3" t="n">
        <f aca="false">+K21+M21</f>
        <v>28382</v>
      </c>
      <c r="Q21" s="27" t="n">
        <f aca="false">+M21/P21</f>
        <v>0.413149179057149</v>
      </c>
      <c r="R21" s="27" t="n">
        <f aca="false">+N21+P21</f>
        <v>38062</v>
      </c>
      <c r="S21" s="31" t="n">
        <v>263203</v>
      </c>
      <c r="T21" s="27" t="n">
        <f aca="false">+(L21+M21)/R21</f>
        <v>0.437943355577742</v>
      </c>
    </row>
    <row r="22" customFormat="false" ht="14.65" hidden="false" customHeight="false" outlineLevel="0" collapsed="false">
      <c r="A22" s="4" t="s">
        <v>27</v>
      </c>
      <c r="B22" s="18" t="n">
        <v>0</v>
      </c>
      <c r="C22" s="18" t="n">
        <v>0</v>
      </c>
      <c r="D22" s="18" t="n">
        <v>0</v>
      </c>
      <c r="E22" s="18" t="n">
        <v>1</v>
      </c>
      <c r="F22" s="18" t="n">
        <v>0</v>
      </c>
      <c r="G22" s="18" t="n">
        <v>0</v>
      </c>
      <c r="H22" s="18" t="n">
        <f aca="false">+J22+K22</f>
        <v>17057</v>
      </c>
      <c r="I22" s="18" t="n">
        <f aca="false">+L22+M22</f>
        <v>16798</v>
      </c>
      <c r="J22" s="3" t="n">
        <v>4197</v>
      </c>
      <c r="K22" s="3" t="n">
        <v>12860</v>
      </c>
      <c r="L22" s="3" t="n">
        <f aca="false">3847+488</f>
        <v>4335</v>
      </c>
      <c r="M22" s="3" t="n">
        <v>12463</v>
      </c>
      <c r="N22" s="3" t="n">
        <f aca="false">+J22+L22</f>
        <v>8532</v>
      </c>
      <c r="O22" s="27" t="n">
        <f aca="false">+L22/N22</f>
        <v>0.508087201125176</v>
      </c>
      <c r="P22" s="3" t="n">
        <f aca="false">+K22+M22</f>
        <v>25323</v>
      </c>
      <c r="Q22" s="27" t="n">
        <f aca="false">+M22/P22</f>
        <v>0.492161276310074</v>
      </c>
      <c r="R22" s="27" t="n">
        <f aca="false">+N22+P22</f>
        <v>33855</v>
      </c>
      <c r="S22" s="31" t="n">
        <v>254019</v>
      </c>
      <c r="T22" s="27" t="n">
        <f aca="false">+(L22+M22)/R22</f>
        <v>0.496174863387978</v>
      </c>
    </row>
    <row r="23" customFormat="false" ht="14.65" hidden="false" customHeight="false" outlineLevel="0" collapsed="false">
      <c r="A23" s="4" t="s">
        <v>28</v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1</v>
      </c>
      <c r="H23" s="18" t="n">
        <f aca="false">+J23+K23</f>
        <v>8964</v>
      </c>
      <c r="I23" s="18" t="n">
        <f aca="false">+L23+M23</f>
        <v>3187</v>
      </c>
      <c r="J23" s="3" t="n">
        <v>1725</v>
      </c>
      <c r="K23" s="3" t="n">
        <v>7239</v>
      </c>
      <c r="L23" s="3" t="n">
        <f aca="false">480+95</f>
        <v>575</v>
      </c>
      <c r="M23" s="3" t="n">
        <v>2612</v>
      </c>
      <c r="N23" s="3" t="n">
        <f aca="false">+J23+L23</f>
        <v>2300</v>
      </c>
      <c r="O23" s="27" t="n">
        <f aca="false">+L23/N23</f>
        <v>0.25</v>
      </c>
      <c r="P23" s="3" t="n">
        <f aca="false">+K23+M23</f>
        <v>9851</v>
      </c>
      <c r="Q23" s="27" t="n">
        <f aca="false">+M23/P23</f>
        <v>0.265150746117145</v>
      </c>
      <c r="R23" s="27" t="n">
        <f aca="false">+N23+P23</f>
        <v>12151</v>
      </c>
      <c r="S23" s="31" t="n">
        <v>213313</v>
      </c>
      <c r="T23" s="27" t="n">
        <f aca="false">+(L23+M23)/R23</f>
        <v>0.262282939675747</v>
      </c>
    </row>
    <row r="24" customFormat="false" ht="14.65" hidden="false" customHeight="false" outlineLevel="0" collapsed="false">
      <c r="A24" s="5" t="s">
        <v>29</v>
      </c>
      <c r="B24" s="18" t="n">
        <v>0</v>
      </c>
      <c r="C24" s="18" t="n">
        <v>0</v>
      </c>
      <c r="D24" s="18" t="n">
        <v>0</v>
      </c>
      <c r="E24" s="18" t="n">
        <v>1</v>
      </c>
      <c r="F24" s="18" t="n">
        <v>0</v>
      </c>
      <c r="G24" s="18" t="n">
        <v>0</v>
      </c>
      <c r="H24" s="18" t="n">
        <f aca="false">+J24+K24</f>
        <v>12802</v>
      </c>
      <c r="I24" s="18" t="n">
        <f aca="false">+L24+M24</f>
        <v>29094</v>
      </c>
      <c r="J24" s="3" t="n">
        <v>2913</v>
      </c>
      <c r="K24" s="3" t="n">
        <v>9889</v>
      </c>
      <c r="L24" s="3" t="n">
        <f aca="false">9086+3406</f>
        <v>12492</v>
      </c>
      <c r="M24" s="3" t="n">
        <v>16602</v>
      </c>
      <c r="N24" s="3" t="n">
        <f aca="false">+J24+L24</f>
        <v>15405</v>
      </c>
      <c r="O24" s="27" t="n">
        <f aca="false">+L24/N24</f>
        <v>0.810905550146057</v>
      </c>
      <c r="P24" s="3" t="n">
        <f aca="false">+K24+M24</f>
        <v>26491</v>
      </c>
      <c r="Q24" s="27" t="n">
        <f aca="false">+M24/P24</f>
        <v>0.626703408704843</v>
      </c>
      <c r="R24" s="27" t="n">
        <f aca="false">+N24+P24</f>
        <v>41896</v>
      </c>
      <c r="S24" s="32" t="n">
        <v>349237</v>
      </c>
      <c r="T24" s="27" t="n">
        <f aca="false">+(L24+M24)/R24</f>
        <v>0.694433836165744</v>
      </c>
    </row>
    <row r="25" customFormat="false" ht="14.65" hidden="false" customHeight="false" outlineLevel="0" collapsed="false">
      <c r="A25" s="4" t="s">
        <v>30</v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1</v>
      </c>
      <c r="H25" s="18" t="n">
        <f aca="false">+J25+K25</f>
        <v>8791</v>
      </c>
      <c r="I25" s="18" t="n">
        <f aca="false">+L25+M25</f>
        <v>38557</v>
      </c>
      <c r="J25" s="3" t="n">
        <v>2176</v>
      </c>
      <c r="K25" s="3" t="n">
        <v>6615</v>
      </c>
      <c r="L25" s="3" t="n">
        <f aca="false">10733+4490</f>
        <v>15223</v>
      </c>
      <c r="M25" s="3" t="n">
        <v>23334</v>
      </c>
      <c r="N25" s="3" t="n">
        <f aca="false">+J25+L25</f>
        <v>17399</v>
      </c>
      <c r="O25" s="27" t="n">
        <f aca="false">+L25/N25</f>
        <v>0.874935341111558</v>
      </c>
      <c r="P25" s="3" t="n">
        <f aca="false">+K25+M25</f>
        <v>29949</v>
      </c>
      <c r="Q25" s="27" t="n">
        <f aca="false">+M25/P25</f>
        <v>0.779124511669839</v>
      </c>
      <c r="R25" s="27" t="n">
        <f aca="false">+N25+P25</f>
        <v>47348</v>
      </c>
      <c r="S25" s="31" t="n">
        <v>390193</v>
      </c>
      <c r="T25" s="27" t="n">
        <f aca="false">+(L25+M25)/R25</f>
        <v>0.814332178761511</v>
      </c>
    </row>
    <row r="26" customFormat="false" ht="14.65" hidden="false" customHeight="false" outlineLevel="0" collapsed="false">
      <c r="A26" s="4" t="s">
        <v>31</v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1</v>
      </c>
      <c r="G26" s="18" t="n">
        <v>0</v>
      </c>
      <c r="H26" s="18" t="n">
        <f aca="false">+J26+K26</f>
        <v>31234</v>
      </c>
      <c r="I26" s="18" t="n">
        <f aca="false">+L26+M26</f>
        <v>52985</v>
      </c>
      <c r="J26" s="3" t="n">
        <v>5614</v>
      </c>
      <c r="K26" s="3" t="n">
        <v>25620</v>
      </c>
      <c r="L26" s="3" t="n">
        <f aca="false">12601+3965</f>
        <v>16566</v>
      </c>
      <c r="M26" s="3" t="n">
        <v>36419</v>
      </c>
      <c r="N26" s="3" t="n">
        <f aca="false">+J26+L26</f>
        <v>22180</v>
      </c>
      <c r="O26" s="27" t="n">
        <f aca="false">+L26/N26</f>
        <v>0.746889089269612</v>
      </c>
      <c r="P26" s="3" t="n">
        <f aca="false">+K26+M26</f>
        <v>62039</v>
      </c>
      <c r="Q26" s="27" t="n">
        <f aca="false">+M26/P26</f>
        <v>0.587033962507455</v>
      </c>
      <c r="R26" s="27" t="n">
        <f aca="false">+N26+P26</f>
        <v>84219</v>
      </c>
      <c r="S26" s="31" t="n">
        <v>782040</v>
      </c>
      <c r="T26" s="27" t="n">
        <f aca="false">+(L26+M26)/R26</f>
        <v>0.629133568434676</v>
      </c>
    </row>
    <row r="27" customFormat="false" ht="14.65" hidden="false" customHeight="false" outlineLevel="0" collapsed="false">
      <c r="A27" s="4" t="s">
        <v>32</v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1</v>
      </c>
      <c r="G27" s="18" t="n">
        <v>0</v>
      </c>
      <c r="H27" s="18" t="n">
        <f aca="false">+J27+K27</f>
        <v>19970</v>
      </c>
      <c r="I27" s="18" t="n">
        <f aca="false">+L27+M27</f>
        <v>21192</v>
      </c>
      <c r="J27" s="3" t="n">
        <v>3201</v>
      </c>
      <c r="K27" s="3" t="n">
        <v>16769</v>
      </c>
      <c r="L27" s="3" t="n">
        <f aca="false">5320+2216</f>
        <v>7536</v>
      </c>
      <c r="M27" s="3" t="n">
        <v>13656</v>
      </c>
      <c r="N27" s="3" t="n">
        <f aca="false">+J27+L27</f>
        <v>10737</v>
      </c>
      <c r="O27" s="27" t="n">
        <f aca="false">+L27/N27</f>
        <v>0.701872031293658</v>
      </c>
      <c r="P27" s="3" t="n">
        <f aca="false">+K27+M27</f>
        <v>30425</v>
      </c>
      <c r="Q27" s="27" t="n">
        <f aca="false">+M27/P27</f>
        <v>0.448841413311422</v>
      </c>
      <c r="R27" s="27" t="n">
        <f aca="false">+N27+P27</f>
        <v>41162</v>
      </c>
      <c r="S27" s="31" t="n">
        <v>541583</v>
      </c>
      <c r="T27" s="27" t="n">
        <f aca="false">+(L27+M27)/R27</f>
        <v>0.514843787959769</v>
      </c>
    </row>
    <row r="28" customFormat="false" ht="14.65" hidden="false" customHeight="false" outlineLevel="0" collapsed="false">
      <c r="A28" s="5" t="s">
        <v>33</v>
      </c>
      <c r="B28" s="18" t="n">
        <v>0</v>
      </c>
      <c r="C28" s="18" t="n">
        <v>0</v>
      </c>
      <c r="D28" s="18" t="n">
        <v>0</v>
      </c>
      <c r="E28" s="18" t="n">
        <v>1</v>
      </c>
      <c r="F28" s="18" t="n">
        <v>0</v>
      </c>
      <c r="G28" s="18" t="n">
        <v>0</v>
      </c>
      <c r="H28" s="18" t="n">
        <f aca="false">+J28+K28</f>
        <v>17521</v>
      </c>
      <c r="I28" s="18" t="n">
        <f aca="false">+L28+M28</f>
        <v>8718</v>
      </c>
      <c r="J28" s="3" t="n">
        <v>2951</v>
      </c>
      <c r="K28" s="3" t="n">
        <v>14570</v>
      </c>
      <c r="L28" s="3" t="n">
        <f aca="false">1383+185</f>
        <v>1568</v>
      </c>
      <c r="M28" s="3" t="n">
        <v>7150</v>
      </c>
      <c r="N28" s="3" t="n">
        <f aca="false">+J28+L28</f>
        <v>4519</v>
      </c>
      <c r="O28" s="27" t="n">
        <f aca="false">+L28/N28</f>
        <v>0.346979420225714</v>
      </c>
      <c r="P28" s="3" t="n">
        <f aca="false">+K28+M28</f>
        <v>21720</v>
      </c>
      <c r="Q28" s="27" t="n">
        <f aca="false">+M28/P28</f>
        <v>0.329189686924494</v>
      </c>
      <c r="R28" s="27" t="n">
        <f aca="false">+N28+P28</f>
        <v>26239</v>
      </c>
      <c r="S28" s="32" t="n">
        <v>243481</v>
      </c>
      <c r="T28" s="27" t="n">
        <f aca="false">+(L28+M28)/R28</f>
        <v>0.332253515758985</v>
      </c>
    </row>
    <row r="29" customFormat="false" ht="14.65" hidden="false" customHeight="false" outlineLevel="0" collapsed="false">
      <c r="A29" s="4" t="s">
        <v>34</v>
      </c>
      <c r="B29" s="18" t="n">
        <v>0</v>
      </c>
      <c r="C29" s="18" t="n">
        <v>0</v>
      </c>
      <c r="D29" s="18" t="n">
        <v>0</v>
      </c>
      <c r="E29" s="18" t="n">
        <v>0</v>
      </c>
      <c r="F29" s="18" t="n">
        <v>1</v>
      </c>
      <c r="G29" s="18" t="n">
        <v>0</v>
      </c>
      <c r="H29" s="18" t="n">
        <f aca="false">+J29+K29</f>
        <v>24968</v>
      </c>
      <c r="I29" s="18" t="n">
        <f aca="false">+L29+M29</f>
        <v>28286</v>
      </c>
      <c r="J29" s="3" t="n">
        <v>5504</v>
      </c>
      <c r="K29" s="3" t="n">
        <v>19464</v>
      </c>
      <c r="L29" s="3" t="n">
        <f aca="false">8497+2326</f>
        <v>10823</v>
      </c>
      <c r="M29" s="3" t="n">
        <v>17463</v>
      </c>
      <c r="N29" s="3" t="n">
        <f aca="false">+J29+L29</f>
        <v>16327</v>
      </c>
      <c r="O29" s="27" t="n">
        <f aca="false">+L29/N29</f>
        <v>0.662889691921357</v>
      </c>
      <c r="P29" s="3" t="n">
        <f aca="false">+K29+M29</f>
        <v>36927</v>
      </c>
      <c r="Q29" s="27" t="n">
        <f aca="false">+M29/P29</f>
        <v>0.472906003737103</v>
      </c>
      <c r="R29" s="27" t="n">
        <f aca="false">+N29+P29</f>
        <v>53254</v>
      </c>
      <c r="S29" s="31" t="n">
        <v>433159</v>
      </c>
      <c r="T29" s="27" t="n">
        <f aca="false">+(L29+M29)/R29</f>
        <v>0.531152589476847</v>
      </c>
    </row>
    <row r="30" customFormat="false" ht="14.65" hidden="false" customHeight="false" outlineLevel="0" collapsed="false">
      <c r="A30" s="4" t="s">
        <v>35</v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f aca="false">+J30+K30</f>
        <v>6502</v>
      </c>
      <c r="I30" s="18" t="n">
        <f aca="false">+L30+M30</f>
        <v>2023</v>
      </c>
      <c r="J30" s="3" t="n">
        <v>1928</v>
      </c>
      <c r="K30" s="3" t="n">
        <v>4574</v>
      </c>
      <c r="L30" s="3" t="n">
        <f aca="false">184+0</f>
        <v>184</v>
      </c>
      <c r="M30" s="3" t="n">
        <v>1839</v>
      </c>
      <c r="N30" s="3" t="n">
        <f aca="false">+J30+L30</f>
        <v>2112</v>
      </c>
      <c r="O30" s="27" t="n">
        <f aca="false">+L30/N30</f>
        <v>0.0871212121212121</v>
      </c>
      <c r="P30" s="3" t="n">
        <f aca="false">+K30+M30</f>
        <v>6413</v>
      </c>
      <c r="Q30" s="27" t="n">
        <f aca="false">+M30/P30</f>
        <v>0.286761266178076</v>
      </c>
      <c r="R30" s="27" t="n">
        <f aca="false">+N30+P30</f>
        <v>8525</v>
      </c>
      <c r="S30" s="31" t="n">
        <v>67621</v>
      </c>
      <c r="T30" s="27" t="n">
        <f aca="false">+(L30+M30)/R30</f>
        <v>0.237302052785924</v>
      </c>
    </row>
    <row r="31" customFormat="false" ht="14.65" hidden="false" customHeight="false" outlineLevel="0" collapsed="false">
      <c r="A31" s="4" t="s">
        <v>36</v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1</v>
      </c>
      <c r="G31" s="18" t="n">
        <v>0</v>
      </c>
      <c r="H31" s="18" t="n">
        <f aca="false">+J31+K31</f>
        <v>8960</v>
      </c>
      <c r="I31" s="18" t="n">
        <f aca="false">+L31+M31</f>
        <v>5661</v>
      </c>
      <c r="J31" s="3" t="n">
        <v>1994</v>
      </c>
      <c r="K31" s="3" t="n">
        <v>6966</v>
      </c>
      <c r="L31" s="3" t="n">
        <f aca="false">734+93</f>
        <v>827</v>
      </c>
      <c r="M31" s="3" t="n">
        <v>4834</v>
      </c>
      <c r="N31" s="3" t="n">
        <f aca="false">+J31+L31</f>
        <v>2821</v>
      </c>
      <c r="O31" s="27" t="n">
        <f aca="false">+L31/N31</f>
        <v>0.293158454448777</v>
      </c>
      <c r="P31" s="3" t="n">
        <f aca="false">+K31+M31</f>
        <v>11800</v>
      </c>
      <c r="Q31" s="27" t="n">
        <f aca="false">+M31/P31</f>
        <v>0.409661016949153</v>
      </c>
      <c r="R31" s="27" t="n">
        <f aca="false">+N31+P31</f>
        <v>14621</v>
      </c>
      <c r="S31" s="31" t="n">
        <v>179015</v>
      </c>
      <c r="T31" s="27" t="n">
        <f aca="false">+(L31+M31)/R31</f>
        <v>0.387182819232611</v>
      </c>
    </row>
    <row r="32" customFormat="false" ht="14.65" hidden="false" customHeight="false" outlineLevel="0" collapsed="false">
      <c r="A32" s="5" t="s">
        <v>37</v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f aca="false">+J32+K32</f>
        <v>4479</v>
      </c>
      <c r="I32" s="18" t="n">
        <f aca="false">+L32+M32</f>
        <v>6418</v>
      </c>
      <c r="J32" s="3" t="n">
        <v>1522</v>
      </c>
      <c r="K32" s="3" t="n">
        <v>2957</v>
      </c>
      <c r="L32" s="3" t="n">
        <f aca="false">1147+579</f>
        <v>1726</v>
      </c>
      <c r="M32" s="3" t="n">
        <v>4692</v>
      </c>
      <c r="N32" s="3" t="n">
        <f aca="false">+J32+L32</f>
        <v>3248</v>
      </c>
      <c r="O32" s="27" t="n">
        <f aca="false">+L32/N32</f>
        <v>0.5314039408867</v>
      </c>
      <c r="P32" s="3" t="n">
        <f aca="false">+K32+M32</f>
        <v>7649</v>
      </c>
      <c r="Q32" s="27" t="n">
        <f aca="false">+M32/P32</f>
        <v>0.613413518106942</v>
      </c>
      <c r="R32" s="27" t="n">
        <f aca="false">+N32+P32</f>
        <v>10897</v>
      </c>
      <c r="S32" s="32" t="n">
        <v>74470</v>
      </c>
      <c r="T32" s="27" t="n">
        <f aca="false">+(L32+M32)/R32</f>
        <v>0.588969441130586</v>
      </c>
    </row>
    <row r="33" customFormat="false" ht="14.65" hidden="false" customHeight="false" outlineLevel="0" collapsed="false">
      <c r="A33" s="4" t="s">
        <v>38</v>
      </c>
      <c r="B33" s="18" t="n">
        <v>0</v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1</v>
      </c>
      <c r="H33" s="18" t="n">
        <f aca="false">+J33+K33</f>
        <v>6355</v>
      </c>
      <c r="I33" s="18" t="n">
        <f aca="false">+L33+M33</f>
        <v>3712</v>
      </c>
      <c r="J33" s="3" t="n">
        <v>1330</v>
      </c>
      <c r="K33" s="3" t="n">
        <v>5025</v>
      </c>
      <c r="L33" s="3" t="n">
        <f aca="false">712+448</f>
        <v>1160</v>
      </c>
      <c r="M33" s="3" t="n">
        <v>2552</v>
      </c>
      <c r="N33" s="3" t="n">
        <f aca="false">+J33+L33</f>
        <v>2490</v>
      </c>
      <c r="O33" s="27" t="n">
        <f aca="false">+L33/N33</f>
        <v>0.465863453815261</v>
      </c>
      <c r="P33" s="3" t="n">
        <f aca="false">+K33+M33</f>
        <v>7577</v>
      </c>
      <c r="Q33" s="27" t="n">
        <f aca="false">+M33/P33</f>
        <v>0.336808763362809</v>
      </c>
      <c r="R33" s="27" t="n">
        <f aca="false">+N33+P33</f>
        <v>10067</v>
      </c>
      <c r="S33" s="31" t="n">
        <v>165327</v>
      </c>
      <c r="T33" s="27" t="n">
        <f aca="false">+(L33+M33)/R33</f>
        <v>0.368729512267806</v>
      </c>
    </row>
    <row r="34" customFormat="false" ht="14.65" hidden="false" customHeight="false" outlineLevel="0" collapsed="false">
      <c r="A34" s="4" t="s">
        <v>39</v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1</v>
      </c>
      <c r="H34" s="18" t="n">
        <f aca="false">+J34+K34</f>
        <v>11850</v>
      </c>
      <c r="I34" s="18" t="n">
        <f aca="false">+L34+M34</f>
        <v>47560</v>
      </c>
      <c r="J34" s="3" t="n">
        <v>2124</v>
      </c>
      <c r="K34" s="3" t="n">
        <v>9726</v>
      </c>
      <c r="L34" s="3" t="n">
        <f aca="false">8110+5734</f>
        <v>13844</v>
      </c>
      <c r="M34" s="3" t="n">
        <v>33716</v>
      </c>
      <c r="N34" s="3" t="n">
        <f aca="false">+J34+L34</f>
        <v>15968</v>
      </c>
      <c r="O34" s="27" t="n">
        <f aca="false">+L34/N34</f>
        <v>0.866983967935872</v>
      </c>
      <c r="P34" s="3" t="n">
        <f aca="false">+K34+M34</f>
        <v>43442</v>
      </c>
      <c r="Q34" s="27" t="n">
        <f aca="false">+M34/P34</f>
        <v>0.77611528014364</v>
      </c>
      <c r="R34" s="27" t="n">
        <f aca="false">+N34+P34</f>
        <v>59410</v>
      </c>
      <c r="S34" s="31" t="n">
        <v>701627</v>
      </c>
      <c r="T34" s="27" t="n">
        <f aca="false">+(L34+M34)/R34</f>
        <v>0.800538629860293</v>
      </c>
    </row>
    <row r="35" customFormat="false" ht="14.65" hidden="false" customHeight="false" outlineLevel="0" collapsed="false">
      <c r="A35" s="4" t="s">
        <v>40</v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  <c r="G35" s="18" t="n">
        <v>0</v>
      </c>
      <c r="H35" s="18" t="n">
        <f aca="false">+J35+K35</f>
        <v>11648</v>
      </c>
      <c r="I35" s="18" t="n">
        <f aca="false">+L35+M35</f>
        <v>6804</v>
      </c>
      <c r="J35" s="3" t="n">
        <v>3659</v>
      </c>
      <c r="K35" s="3" t="n">
        <v>7989</v>
      </c>
      <c r="L35" s="3" t="n">
        <f aca="false">1202+2</f>
        <v>1204</v>
      </c>
      <c r="M35" s="3" t="n">
        <v>5600</v>
      </c>
      <c r="N35" s="3" t="n">
        <f aca="false">+J35+L35</f>
        <v>4863</v>
      </c>
      <c r="O35" s="27" t="n">
        <f aca="false">+L35/N35</f>
        <v>0.247583796010693</v>
      </c>
      <c r="P35" s="3" t="n">
        <f aca="false">+K35+M35</f>
        <v>13589</v>
      </c>
      <c r="Q35" s="27" t="n">
        <f aca="false">+M35/P35</f>
        <v>0.412098020457723</v>
      </c>
      <c r="R35" s="27" t="n">
        <f aca="false">+N35+P35</f>
        <v>18452</v>
      </c>
      <c r="S35" s="31" t="n">
        <v>107812</v>
      </c>
      <c r="T35" s="27" t="n">
        <f aca="false">+(L35+M35)/R35</f>
        <v>0.368740515933232</v>
      </c>
    </row>
    <row r="36" customFormat="false" ht="14.65" hidden="false" customHeight="false" outlineLevel="0" collapsed="false">
      <c r="A36" s="5" t="s">
        <v>41</v>
      </c>
      <c r="B36" s="18" t="n">
        <v>0</v>
      </c>
      <c r="C36" s="18" t="n">
        <v>1</v>
      </c>
      <c r="D36" s="18" t="n">
        <v>0</v>
      </c>
      <c r="E36" s="18" t="n">
        <v>0</v>
      </c>
      <c r="F36" s="18" t="n">
        <v>0</v>
      </c>
      <c r="G36" s="18" t="n">
        <v>1</v>
      </c>
      <c r="H36" s="18" t="n">
        <f aca="false">+J36+K36</f>
        <v>30342</v>
      </c>
      <c r="I36" s="18" t="n">
        <f aca="false">+L36+M36</f>
        <v>79539</v>
      </c>
      <c r="J36" s="3" t="n">
        <v>5381</v>
      </c>
      <c r="K36" s="3" t="n">
        <v>24961</v>
      </c>
      <c r="L36" s="3" t="n">
        <f aca="false">14475+14327</f>
        <v>28802</v>
      </c>
      <c r="M36" s="3" t="n">
        <v>50737</v>
      </c>
      <c r="N36" s="3" t="n">
        <f aca="false">+J36+L36</f>
        <v>34183</v>
      </c>
      <c r="O36" s="27" t="n">
        <f aca="false">+L36/N36</f>
        <v>0.842582570283474</v>
      </c>
      <c r="P36" s="3" t="n">
        <f aca="false">+K36+M36</f>
        <v>75698</v>
      </c>
      <c r="Q36" s="27" t="n">
        <f aca="false">+M36/P36</f>
        <v>0.670255488916484</v>
      </c>
      <c r="R36" s="27" t="n">
        <f aca="false">+N36+P36</f>
        <v>109881</v>
      </c>
      <c r="S36" s="32" t="n">
        <v>2446441</v>
      </c>
      <c r="T36" s="27" t="n">
        <f aca="false">+(L36+M36)/R36</f>
        <v>0.723864908400906</v>
      </c>
    </row>
    <row r="37" customFormat="false" ht="14.65" hidden="false" customHeight="false" outlineLevel="0" collapsed="false">
      <c r="A37" s="4" t="s">
        <v>42</v>
      </c>
      <c r="B37" s="18" t="n">
        <v>0</v>
      </c>
      <c r="C37" s="18" t="n">
        <v>0</v>
      </c>
      <c r="D37" s="18" t="n">
        <v>0</v>
      </c>
      <c r="E37" s="18" t="n">
        <v>1</v>
      </c>
      <c r="F37" s="18" t="n">
        <v>0</v>
      </c>
      <c r="G37" s="18" t="n">
        <v>0</v>
      </c>
      <c r="H37" s="18" t="n">
        <f aca="false">+J37+K37</f>
        <v>33766</v>
      </c>
      <c r="I37" s="18" t="n">
        <f aca="false">+L37+M37</f>
        <v>33772</v>
      </c>
      <c r="J37" s="3" t="n">
        <v>6237</v>
      </c>
      <c r="K37" s="3" t="n">
        <v>27529</v>
      </c>
      <c r="L37" s="3" t="n">
        <f aca="false">6050+2464</f>
        <v>8514</v>
      </c>
      <c r="M37" s="3" t="n">
        <v>25258</v>
      </c>
      <c r="N37" s="3" t="n">
        <f aca="false">+J37+L37</f>
        <v>14751</v>
      </c>
      <c r="O37" s="27" t="n">
        <f aca="false">+L37/N37</f>
        <v>0.577181208053691</v>
      </c>
      <c r="P37" s="3" t="n">
        <f aca="false">+K37+M37</f>
        <v>52787</v>
      </c>
      <c r="Q37" s="27" t="n">
        <f aca="false">+M37/P37</f>
        <v>0.478489021918275</v>
      </c>
      <c r="R37" s="27" t="n">
        <f aca="false">+N37+P37</f>
        <v>67538</v>
      </c>
      <c r="S37" s="31" t="n">
        <v>449754</v>
      </c>
      <c r="T37" s="27" t="n">
        <f aca="false">+(L37+M37)/R37</f>
        <v>0.500044419437946</v>
      </c>
    </row>
    <row r="38" customFormat="false" ht="14.65" hidden="false" customHeight="false" outlineLevel="0" collapsed="false">
      <c r="A38" s="4" t="s">
        <v>43</v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f aca="false">+J38+K38</f>
        <v>4497</v>
      </c>
      <c r="I38" s="18" t="n">
        <f aca="false">+L38+M38</f>
        <v>1575</v>
      </c>
      <c r="J38" s="3" t="n">
        <v>1012</v>
      </c>
      <c r="K38" s="3" t="n">
        <v>3485</v>
      </c>
      <c r="L38" s="3" t="n">
        <v>188</v>
      </c>
      <c r="M38" s="3" t="n">
        <v>1387</v>
      </c>
      <c r="N38" s="3" t="n">
        <f aca="false">+J38+L38</f>
        <v>1200</v>
      </c>
      <c r="O38" s="27" t="n">
        <f aca="false">+L38/N38</f>
        <v>0.156666666666667</v>
      </c>
      <c r="P38" s="3" t="n">
        <f aca="false">+K38+M38</f>
        <v>4872</v>
      </c>
      <c r="Q38" s="27" t="n">
        <f aca="false">+M38/P38</f>
        <v>0.284688013136289</v>
      </c>
      <c r="R38" s="27" t="n">
        <f aca="false">+N38+P38</f>
        <v>6072</v>
      </c>
      <c r="S38" s="31" t="n">
        <v>86607</v>
      </c>
      <c r="T38" s="27" t="n">
        <f aca="false">+(L38+M38)/R38</f>
        <v>0.259387351778656</v>
      </c>
    </row>
    <row r="39" customFormat="false" ht="14.65" hidden="false" customHeight="false" outlineLevel="0" collapsed="false">
      <c r="A39" s="4" t="s">
        <v>44</v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v>1</v>
      </c>
      <c r="G39" s="18" t="n">
        <v>0</v>
      </c>
      <c r="H39" s="18" t="n">
        <f aca="false">+J39+K39</f>
        <v>37429</v>
      </c>
      <c r="I39" s="18" t="n">
        <f aca="false">+L39+M39</f>
        <v>57792</v>
      </c>
      <c r="J39" s="3" t="n">
        <v>8276</v>
      </c>
      <c r="K39" s="3" t="n">
        <v>29153</v>
      </c>
      <c r="L39" s="3" t="n">
        <f aca="false">15929+3608</f>
        <v>19537</v>
      </c>
      <c r="M39" s="3" t="n">
        <v>38255</v>
      </c>
      <c r="N39" s="3" t="n">
        <f aca="false">+J39+L39</f>
        <v>27813</v>
      </c>
      <c r="O39" s="27" t="n">
        <f aca="false">+L39/N39</f>
        <v>0.702441304425988</v>
      </c>
      <c r="P39" s="3" t="n">
        <f aca="false">+K39+M39</f>
        <v>67408</v>
      </c>
      <c r="Q39" s="27" t="n">
        <f aca="false">+M39/P39</f>
        <v>0.567514241633041</v>
      </c>
      <c r="R39" s="27" t="n">
        <f aca="false">+N39+P39</f>
        <v>95221</v>
      </c>
      <c r="S39" s="31" t="n">
        <v>964768</v>
      </c>
      <c r="T39" s="27" t="n">
        <f aca="false">+(L39+M39)/R39</f>
        <v>0.606924943027273</v>
      </c>
    </row>
    <row r="40" customFormat="false" ht="14.65" hidden="false" customHeight="false" outlineLevel="0" collapsed="false">
      <c r="A40" s="5" t="s">
        <v>45</v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f aca="false">+J40+K40</f>
        <v>17367</v>
      </c>
      <c r="I40" s="18" t="n">
        <f aca="false">+L40+M40</f>
        <v>17752</v>
      </c>
      <c r="J40" s="3" t="n">
        <v>3705</v>
      </c>
      <c r="K40" s="3" t="n">
        <v>13662</v>
      </c>
      <c r="L40" s="3" t="n">
        <f aca="false">3365+1831</f>
        <v>5196</v>
      </c>
      <c r="M40" s="3" t="n">
        <v>12556</v>
      </c>
      <c r="N40" s="3" t="n">
        <f aca="false">+J40+L40</f>
        <v>8901</v>
      </c>
      <c r="O40" s="27" t="n">
        <f aca="false">+L40/N40</f>
        <v>0.583754634310752</v>
      </c>
      <c r="P40" s="3" t="n">
        <f aca="false">+K40+M40</f>
        <v>26218</v>
      </c>
      <c r="Q40" s="27" t="n">
        <f aca="false">+M40/P40</f>
        <v>0.47890762071859</v>
      </c>
      <c r="R40" s="27" t="n">
        <f aca="false">+N40+P40</f>
        <v>35119</v>
      </c>
      <c r="S40" s="32" t="n">
        <v>206423</v>
      </c>
      <c r="T40" s="27" t="n">
        <f aca="false">+(L40+M40)/R40</f>
        <v>0.505481363364561</v>
      </c>
    </row>
    <row r="41" customFormat="false" ht="14.65" hidden="false" customHeight="false" outlineLevel="0" collapsed="false">
      <c r="A41" s="4" t="s">
        <v>46</v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f aca="false">+J41+K41</f>
        <v>15536</v>
      </c>
      <c r="I41" s="18" t="n">
        <f aca="false">+L41+M41</f>
        <v>12390</v>
      </c>
      <c r="J41" s="3" t="n">
        <v>3812</v>
      </c>
      <c r="K41" s="3" t="n">
        <v>11724</v>
      </c>
      <c r="L41" s="3" t="n">
        <f aca="false">2966+971</f>
        <v>3937</v>
      </c>
      <c r="M41" s="3" t="n">
        <v>8453</v>
      </c>
      <c r="N41" s="3" t="n">
        <f aca="false">+J41+L41</f>
        <v>7749</v>
      </c>
      <c r="O41" s="27" t="n">
        <f aca="false">+L41/N41</f>
        <v>0.508065556846045</v>
      </c>
      <c r="P41" s="3" t="n">
        <f aca="false">+K41+M41</f>
        <v>20177</v>
      </c>
      <c r="Q41" s="27" t="n">
        <f aca="false">+M41/P41</f>
        <v>0.418942360113</v>
      </c>
      <c r="R41" s="27" t="n">
        <f aca="false">+N41+P41</f>
        <v>27926</v>
      </c>
      <c r="S41" s="31" t="n">
        <v>296451</v>
      </c>
      <c r="T41" s="27" t="n">
        <f aca="false">+(L41+M41)/R41</f>
        <v>0.44367256320275</v>
      </c>
    </row>
    <row r="42" customFormat="false" ht="14.65" hidden="false" customHeight="false" outlineLevel="0" collapsed="false">
      <c r="A42" s="4" t="s">
        <v>47</v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  <c r="G42" s="18" t="n">
        <v>1</v>
      </c>
      <c r="H42" s="18" t="n">
        <f aca="false">+J42+K42</f>
        <v>37349</v>
      </c>
      <c r="I42" s="18" t="n">
        <f aca="false">+L42+M42</f>
        <v>51851</v>
      </c>
      <c r="J42" s="3" t="n">
        <v>7381</v>
      </c>
      <c r="K42" s="3" t="n">
        <v>29968</v>
      </c>
      <c r="L42" s="3" t="n">
        <f aca="false">8839+4656</f>
        <v>13495</v>
      </c>
      <c r="M42" s="3" t="n">
        <v>38356</v>
      </c>
      <c r="N42" s="3" t="n">
        <f aca="false">+J42+L42</f>
        <v>20876</v>
      </c>
      <c r="O42" s="27" t="n">
        <f aca="false">+L42/N42</f>
        <v>0.646436098869515</v>
      </c>
      <c r="P42" s="3" t="n">
        <f aca="false">+K42+M42</f>
        <v>68324</v>
      </c>
      <c r="Q42" s="27" t="n">
        <f aca="false">+M42/P42</f>
        <v>0.561383993911364</v>
      </c>
      <c r="R42" s="27" t="n">
        <f aca="false">+N42+P42</f>
        <v>89200</v>
      </c>
      <c r="S42" s="31" t="n">
        <v>1509092</v>
      </c>
      <c r="T42" s="27" t="n">
        <f aca="false">+(L42+M42)/R42</f>
        <v>0.581289237668161</v>
      </c>
    </row>
    <row r="43" customFormat="false" ht="14.65" hidden="false" customHeight="false" outlineLevel="0" collapsed="false">
      <c r="A43" s="4" t="s">
        <v>48</v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1</v>
      </c>
      <c r="H43" s="18" t="n">
        <f aca="false">+J43+K43</f>
        <v>1129</v>
      </c>
      <c r="I43" s="18" t="n">
        <f aca="false">+L43+M43</f>
        <v>6430</v>
      </c>
      <c r="J43" s="3" t="n">
        <v>278</v>
      </c>
      <c r="K43" s="3" t="n">
        <v>851</v>
      </c>
      <c r="L43" s="3" t="n">
        <f aca="false">1407+601</f>
        <v>2008</v>
      </c>
      <c r="M43" s="3" t="n">
        <v>4422</v>
      </c>
      <c r="N43" s="3" t="n">
        <f aca="false">+J43+L43</f>
        <v>2286</v>
      </c>
      <c r="O43" s="27" t="n">
        <f aca="false">+L43/N43</f>
        <v>0.878390201224847</v>
      </c>
      <c r="P43" s="3" t="n">
        <f aca="false">+K43+M43</f>
        <v>5273</v>
      </c>
      <c r="Q43" s="27" t="n">
        <f aca="false">+M43/P43</f>
        <v>0.838611795941589</v>
      </c>
      <c r="R43" s="27" t="n">
        <f aca="false">+N43+P43</f>
        <v>7559</v>
      </c>
      <c r="S43" s="31" t="n">
        <v>40852</v>
      </c>
      <c r="T43" s="27" t="n">
        <f aca="false">+(L43+M43)/R43</f>
        <v>0.850641619261807</v>
      </c>
    </row>
    <row r="44" customFormat="false" ht="14.65" hidden="false" customHeight="false" outlineLevel="0" collapsed="false">
      <c r="A44" s="5" t="s">
        <v>49</v>
      </c>
      <c r="B44" s="18" t="n">
        <v>0</v>
      </c>
      <c r="C44" s="18" t="n">
        <v>0</v>
      </c>
      <c r="D44" s="18" t="n">
        <v>0</v>
      </c>
      <c r="E44" s="18" t="n">
        <v>1</v>
      </c>
      <c r="F44" s="18" t="n">
        <v>0</v>
      </c>
      <c r="G44" s="18" t="n">
        <v>0</v>
      </c>
      <c r="H44" s="18" t="n">
        <f aca="false">+J44+K44</f>
        <v>21113</v>
      </c>
      <c r="I44" s="18" t="n">
        <f aca="false">+L44+M44</f>
        <v>13936</v>
      </c>
      <c r="J44" s="3" t="n">
        <v>5945</v>
      </c>
      <c r="K44" s="3" t="n">
        <v>15168</v>
      </c>
      <c r="L44" s="3" t="n">
        <f aca="false">2427+589</f>
        <v>3016</v>
      </c>
      <c r="M44" s="3" t="n">
        <v>10920</v>
      </c>
      <c r="N44" s="3" t="n">
        <f aca="false">+J44+L44</f>
        <v>8961</v>
      </c>
      <c r="O44" s="27" t="n">
        <f aca="false">+L44/N44</f>
        <v>0.336569579288026</v>
      </c>
      <c r="P44" s="3" t="n">
        <f aca="false">+K44+M44</f>
        <v>26088</v>
      </c>
      <c r="Q44" s="27" t="n">
        <f aca="false">+M44/P44</f>
        <v>0.418583256669733</v>
      </c>
      <c r="R44" s="27" t="n">
        <f aca="false">+N44+P44</f>
        <v>35049</v>
      </c>
      <c r="S44" s="32" t="n">
        <v>200199</v>
      </c>
      <c r="T44" s="27" t="n">
        <f aca="false">+(L44+M44)/R44</f>
        <v>0.397614767896374</v>
      </c>
    </row>
    <row r="45" customFormat="false" ht="14.65" hidden="false" customHeight="false" outlineLevel="0" collapsed="false">
      <c r="A45" s="4" t="s">
        <v>50</v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f aca="false">+J45+K45</f>
        <v>5678</v>
      </c>
      <c r="I45" s="18" t="n">
        <f aca="false">+L45+M45</f>
        <v>1540</v>
      </c>
      <c r="J45" s="3" t="n">
        <v>1354</v>
      </c>
      <c r="K45" s="3" t="n">
        <v>4324</v>
      </c>
      <c r="L45" s="3" t="n">
        <f aca="false">229+17</f>
        <v>246</v>
      </c>
      <c r="M45" s="3" t="n">
        <v>1294</v>
      </c>
      <c r="N45" s="3" t="n">
        <f aca="false">+J45+L45</f>
        <v>1600</v>
      </c>
      <c r="O45" s="27" t="n">
        <f aca="false">+L45/N45</f>
        <v>0.15375</v>
      </c>
      <c r="P45" s="3" t="n">
        <f aca="false">+K45+M45</f>
        <v>5618</v>
      </c>
      <c r="Q45" s="27" t="n">
        <f aca="false">+M45/P45</f>
        <v>0.230331078675685</v>
      </c>
      <c r="R45" s="27" t="n">
        <f aca="false">+N45+P45</f>
        <v>7218</v>
      </c>
      <c r="S45" s="31" t="n">
        <v>105428</v>
      </c>
      <c r="T45" s="27" t="n">
        <f aca="false">+(L45+M45)/R45</f>
        <v>0.213355500138543</v>
      </c>
    </row>
    <row r="46" customFormat="false" ht="14.65" hidden="false" customHeight="false" outlineLevel="0" collapsed="false">
      <c r="A46" s="4" t="s">
        <v>51</v>
      </c>
      <c r="B46" s="18" t="n">
        <v>0</v>
      </c>
      <c r="C46" s="18" t="n">
        <v>0</v>
      </c>
      <c r="D46" s="18" t="n">
        <v>0</v>
      </c>
      <c r="E46" s="18" t="n">
        <v>1</v>
      </c>
      <c r="F46" s="18" t="n">
        <v>0</v>
      </c>
      <c r="G46" s="18" t="n">
        <v>0</v>
      </c>
      <c r="H46" s="18" t="n">
        <f aca="false">+J46+K46</f>
        <v>22601</v>
      </c>
      <c r="I46" s="18" t="n">
        <f aca="false">+L46+M46</f>
        <v>27393</v>
      </c>
      <c r="J46" s="3" t="n">
        <v>6603</v>
      </c>
      <c r="K46" s="3" t="n">
        <v>15998</v>
      </c>
      <c r="L46" s="3" t="n">
        <f aca="false">6473+871</f>
        <v>7344</v>
      </c>
      <c r="M46" s="3" t="n">
        <v>20049</v>
      </c>
      <c r="N46" s="3" t="n">
        <f aca="false">+J46+L46</f>
        <v>13947</v>
      </c>
      <c r="O46" s="27" t="n">
        <f aca="false">+L46/N46</f>
        <v>0.526564852656485</v>
      </c>
      <c r="P46" s="3" t="n">
        <f aca="false">+K46+M46</f>
        <v>36047</v>
      </c>
      <c r="Q46" s="27" t="n">
        <f aca="false">+M46/P46</f>
        <v>0.556190529031542</v>
      </c>
      <c r="R46" s="27" t="n">
        <f aca="false">+N46+P46</f>
        <v>49994</v>
      </c>
      <c r="S46" s="31" t="n">
        <v>417781</v>
      </c>
      <c r="T46" s="27" t="n">
        <f aca="false">+(L46+M46)/R46</f>
        <v>0.547925751090131</v>
      </c>
    </row>
    <row r="47" customFormat="false" ht="14.65" hidden="false" customHeight="false" outlineLevel="0" collapsed="false">
      <c r="A47" s="4" t="s">
        <v>52</v>
      </c>
      <c r="B47" s="18" t="n">
        <v>0</v>
      </c>
      <c r="C47" s="18" t="n">
        <v>0</v>
      </c>
      <c r="D47" s="18" t="n">
        <v>0</v>
      </c>
      <c r="E47" s="18" t="n">
        <v>1</v>
      </c>
      <c r="F47" s="18" t="n">
        <v>0</v>
      </c>
      <c r="G47" s="18" t="n">
        <v>0</v>
      </c>
      <c r="H47" s="18" t="n">
        <f aca="false">+J47+K47</f>
        <v>57168</v>
      </c>
      <c r="I47" s="18" t="n">
        <f aca="false">+L47+M47</f>
        <v>106161</v>
      </c>
      <c r="J47" s="3" t="n">
        <v>12612</v>
      </c>
      <c r="K47" s="3" t="n">
        <v>44556</v>
      </c>
      <c r="L47" s="3" t="n">
        <f aca="false">23998+15234</f>
        <v>39232</v>
      </c>
      <c r="M47" s="3" t="n">
        <v>66929</v>
      </c>
      <c r="N47" s="3" t="n">
        <f aca="false">+J47+L47</f>
        <v>51844</v>
      </c>
      <c r="O47" s="27" t="n">
        <f aca="false">+L47/N47</f>
        <v>0.756731733662526</v>
      </c>
      <c r="P47" s="3" t="n">
        <f aca="false">+K47+M47</f>
        <v>111485</v>
      </c>
      <c r="Q47" s="27" t="n">
        <f aca="false">+M47/P47</f>
        <v>0.600340853029556</v>
      </c>
      <c r="R47" s="27" t="n">
        <f aca="false">+N47+P47</f>
        <v>163329</v>
      </c>
      <c r="S47" s="31" t="n">
        <v>1463095</v>
      </c>
      <c r="T47" s="27" t="n">
        <f aca="false">+(L47+M47)/R47</f>
        <v>0.649982550557464</v>
      </c>
    </row>
    <row r="48" customFormat="false" ht="14.65" hidden="false" customHeight="false" outlineLevel="0" collapsed="false">
      <c r="A48" s="5" t="s">
        <v>53</v>
      </c>
      <c r="B48" s="18" t="n">
        <v>0</v>
      </c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f aca="false">+J48+K48</f>
        <v>5942</v>
      </c>
      <c r="I48" s="18" t="n">
        <f aca="false">+L48+M48</f>
        <v>10365</v>
      </c>
      <c r="J48" s="3" t="n">
        <v>2309</v>
      </c>
      <c r="K48" s="3" t="n">
        <v>3633</v>
      </c>
      <c r="L48" s="3" t="n">
        <f aca="false">3321+90</f>
        <v>3411</v>
      </c>
      <c r="M48" s="3" t="n">
        <v>6954</v>
      </c>
      <c r="N48" s="3" t="n">
        <f aca="false">+J48+L48</f>
        <v>5720</v>
      </c>
      <c r="O48" s="27" t="n">
        <f aca="false">+L48/N48</f>
        <v>0.596328671328671</v>
      </c>
      <c r="P48" s="3" t="n">
        <f aca="false">+K48+M48</f>
        <v>10587</v>
      </c>
      <c r="Q48" s="27" t="n">
        <f aca="false">+M48/P48</f>
        <v>0.656843298384812</v>
      </c>
      <c r="R48" s="27" t="n">
        <f aca="false">+N48+P48</f>
        <v>16307</v>
      </c>
      <c r="S48" s="32" t="n">
        <v>133474</v>
      </c>
      <c r="T48" s="27" t="n">
        <f aca="false">+(L48+M48)/R48</f>
        <v>0.635616606365365</v>
      </c>
    </row>
    <row r="49" customFormat="false" ht="14.65" hidden="false" customHeight="false" outlineLevel="0" collapsed="false">
      <c r="A49" s="4" t="s">
        <v>54</v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1</v>
      </c>
      <c r="H49" s="18" t="n">
        <f aca="false">+J49+K49</f>
        <v>4315</v>
      </c>
      <c r="I49" s="18" t="n">
        <f aca="false">+L49+M49</f>
        <v>1704</v>
      </c>
      <c r="J49" s="3" t="n">
        <v>1011</v>
      </c>
      <c r="K49" s="3" t="n">
        <v>3304</v>
      </c>
      <c r="L49" s="3" t="n">
        <f aca="false">284+51</f>
        <v>335</v>
      </c>
      <c r="M49" s="3" t="n">
        <v>1369</v>
      </c>
      <c r="N49" s="3" t="n">
        <f aca="false">+J49+L49</f>
        <v>1346</v>
      </c>
      <c r="O49" s="27" t="n">
        <f aca="false">+L49/N49</f>
        <v>0.24888558692422</v>
      </c>
      <c r="P49" s="3" t="n">
        <f aca="false">+K49+M49</f>
        <v>4673</v>
      </c>
      <c r="Q49" s="27" t="n">
        <f aca="false">+M49/P49</f>
        <v>0.292959554889792</v>
      </c>
      <c r="R49" s="27" t="n">
        <f aca="false">+N49+P49</f>
        <v>6019</v>
      </c>
      <c r="S49" s="31" t="n">
        <v>90151</v>
      </c>
      <c r="T49" s="27" t="n">
        <f aca="false">+(L49+M49)/R49</f>
        <v>0.283103505565709</v>
      </c>
    </row>
    <row r="50" customFormat="false" ht="14.65" hidden="false" customHeight="false" outlineLevel="0" collapsed="false">
      <c r="A50" s="4" t="s">
        <v>55</v>
      </c>
      <c r="B50" s="18" t="n">
        <v>0</v>
      </c>
      <c r="C50" s="18" t="n">
        <v>0</v>
      </c>
      <c r="D50" s="18" t="n">
        <v>0</v>
      </c>
      <c r="E50" s="18" t="n">
        <v>1</v>
      </c>
      <c r="F50" s="18" t="n">
        <v>0</v>
      </c>
      <c r="G50" s="18" t="n">
        <v>0</v>
      </c>
      <c r="H50" s="18" t="n">
        <f aca="false">+J50+K50</f>
        <v>29770</v>
      </c>
      <c r="I50" s="18" t="n">
        <f aca="false">+L50+M50</f>
        <v>33677</v>
      </c>
      <c r="J50" s="3" t="n">
        <v>7511</v>
      </c>
      <c r="K50" s="3" t="n">
        <v>22259</v>
      </c>
      <c r="L50" s="3" t="n">
        <f aca="false">8174+2263</f>
        <v>10437</v>
      </c>
      <c r="M50" s="3" t="n">
        <v>23240</v>
      </c>
      <c r="N50" s="3" t="n">
        <f aca="false">+J50+L50</f>
        <v>17948</v>
      </c>
      <c r="O50" s="27" t="n">
        <f aca="false">+L50/N50</f>
        <v>0.581513260530421</v>
      </c>
      <c r="P50" s="3" t="n">
        <f aca="false">+K50+M50</f>
        <v>45499</v>
      </c>
      <c r="Q50" s="27" t="n">
        <f aca="false">+M50/P50</f>
        <v>0.510780456713334</v>
      </c>
      <c r="R50" s="27" t="n">
        <f aca="false">+N50+P50</f>
        <v>63447</v>
      </c>
      <c r="S50" s="31" t="n">
        <v>655777</v>
      </c>
      <c r="T50" s="27" t="n">
        <f aca="false">+(L50+M50)/R50</f>
        <v>0.530789477831891</v>
      </c>
    </row>
    <row r="51" customFormat="false" ht="14.65" hidden="false" customHeight="false" outlineLevel="0" collapsed="false">
      <c r="A51" s="4" t="s">
        <v>56</v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f aca="false">+J51+K51</f>
        <v>16692</v>
      </c>
      <c r="I51" s="18" t="n">
        <f aca="false">+L51+M51</f>
        <v>32694</v>
      </c>
      <c r="J51" s="3" t="n">
        <v>3563</v>
      </c>
      <c r="K51" s="3" t="n">
        <v>13129</v>
      </c>
      <c r="L51" s="3" t="n">
        <f aca="false">8350+3841</f>
        <v>12191</v>
      </c>
      <c r="M51" s="3" t="n">
        <v>20503</v>
      </c>
      <c r="N51" s="3" t="n">
        <f aca="false">+J51+L51</f>
        <v>15754</v>
      </c>
      <c r="O51" s="27" t="n">
        <f aca="false">+L51/N51</f>
        <v>0.773835216452964</v>
      </c>
      <c r="P51" s="3" t="n">
        <f aca="false">+K51+M51</f>
        <v>33632</v>
      </c>
      <c r="Q51" s="27" t="n">
        <f aca="false">+M51/P51</f>
        <v>0.60962773549001</v>
      </c>
      <c r="R51" s="27" t="n">
        <f aca="false">+N51+P51</f>
        <v>49386</v>
      </c>
      <c r="S51" s="31" t="n">
        <v>463608</v>
      </c>
      <c r="T51" s="27" t="n">
        <f aca="false">+(L51+M51)/R51</f>
        <v>0.662009476369821</v>
      </c>
    </row>
    <row r="52" customFormat="false" ht="14.65" hidden="false" customHeight="false" outlineLevel="0" collapsed="false">
      <c r="A52" s="5" t="s">
        <v>57</v>
      </c>
      <c r="B52" s="18" t="n">
        <v>0</v>
      </c>
      <c r="C52" s="18" t="n">
        <v>0</v>
      </c>
      <c r="D52" s="18" t="n">
        <v>0</v>
      </c>
      <c r="E52" s="18" t="n">
        <v>1</v>
      </c>
      <c r="F52" s="18" t="n">
        <v>0</v>
      </c>
      <c r="G52" s="18" t="n">
        <v>0</v>
      </c>
      <c r="H52" s="18" t="n">
        <f aca="false">+J52+K52</f>
        <v>11832</v>
      </c>
      <c r="I52" s="18" t="n">
        <f aca="false">+L52+M52</f>
        <v>4646</v>
      </c>
      <c r="J52" s="3" t="n">
        <v>2979</v>
      </c>
      <c r="K52" s="3" t="n">
        <v>8853</v>
      </c>
      <c r="L52" s="3" t="n">
        <f aca="false">1169+414</f>
        <v>1583</v>
      </c>
      <c r="M52" s="3" t="n">
        <v>3063</v>
      </c>
      <c r="N52" s="3" t="n">
        <f aca="false">+J52+L52</f>
        <v>4562</v>
      </c>
      <c r="O52" s="27" t="n">
        <f aca="false">+L52/N52</f>
        <v>0.346996931170539</v>
      </c>
      <c r="P52" s="3" t="n">
        <f aca="false">+K52+M52</f>
        <v>11916</v>
      </c>
      <c r="Q52" s="27" t="n">
        <f aca="false">+M52/P52</f>
        <v>0.257049345417925</v>
      </c>
      <c r="R52" s="27" t="n">
        <f aca="false">+N52+P52</f>
        <v>16478</v>
      </c>
      <c r="S52" s="32" t="n">
        <v>209882</v>
      </c>
      <c r="T52" s="27" t="n">
        <f aca="false">+(L52+M52)/R52</f>
        <v>0.281951693166646</v>
      </c>
    </row>
    <row r="53" customFormat="false" ht="14.65" hidden="false" customHeight="false" outlineLevel="0" collapsed="false">
      <c r="A53" s="4" t="s">
        <v>58</v>
      </c>
      <c r="B53" s="18" t="n">
        <v>0</v>
      </c>
      <c r="C53" s="18" t="n">
        <v>0</v>
      </c>
      <c r="D53" s="18" t="n">
        <v>0</v>
      </c>
      <c r="E53" s="18" t="n">
        <v>0</v>
      </c>
      <c r="F53" s="18" t="n">
        <v>1</v>
      </c>
      <c r="G53" s="18" t="n">
        <v>0</v>
      </c>
      <c r="H53" s="18" t="n">
        <f aca="false">+J53+K53</f>
        <v>25017</v>
      </c>
      <c r="I53" s="18" t="n">
        <f aca="false">+L53+M53</f>
        <v>22611</v>
      </c>
      <c r="J53" s="3" t="n">
        <v>4236</v>
      </c>
      <c r="K53" s="3" t="n">
        <v>20781</v>
      </c>
      <c r="L53" s="3" t="n">
        <f aca="false">2988+2216</f>
        <v>5204</v>
      </c>
      <c r="M53" s="3" t="n">
        <v>17407</v>
      </c>
      <c r="N53" s="3" t="n">
        <f aca="false">+J53+L53</f>
        <v>9440</v>
      </c>
      <c r="O53" s="27" t="n">
        <f aca="false">+L53/N53</f>
        <v>0.551271186440678</v>
      </c>
      <c r="P53" s="3" t="n">
        <f aca="false">+K53+M53</f>
        <v>38188</v>
      </c>
      <c r="Q53" s="27" t="n">
        <f aca="false">+M53/P53</f>
        <v>0.455823819000733</v>
      </c>
      <c r="R53" s="27" t="n">
        <f aca="false">+N53+P53</f>
        <v>47628</v>
      </c>
      <c r="S53" s="31" t="n">
        <v>541402</v>
      </c>
      <c r="T53" s="27" t="n">
        <f aca="false">+(L53+M53)/R53</f>
        <v>0.474741748551272</v>
      </c>
    </row>
    <row r="54" customFormat="false" ht="14.65" hidden="false" customHeight="false" outlineLevel="0" collapsed="false">
      <c r="A54" s="4" t="s">
        <v>59</v>
      </c>
      <c r="B54" s="18" t="n">
        <v>0</v>
      </c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f aca="false">+J54+K54</f>
        <v>4604</v>
      </c>
      <c r="I54" s="18" t="n">
        <f aca="false">+L54+M54</f>
        <v>1613</v>
      </c>
      <c r="J54" s="3" t="n">
        <v>1746</v>
      </c>
      <c r="K54" s="3" t="n">
        <v>2858</v>
      </c>
      <c r="L54" s="3" t="n">
        <f aca="false">261+8</f>
        <v>269</v>
      </c>
      <c r="M54" s="3" t="n">
        <v>1344</v>
      </c>
      <c r="N54" s="3" t="n">
        <f aca="false">+J54+L54</f>
        <v>2015</v>
      </c>
      <c r="O54" s="27" t="n">
        <f aca="false">+L54/N54</f>
        <v>0.133498759305211</v>
      </c>
      <c r="P54" s="3" t="n">
        <f aca="false">+K54+M54</f>
        <v>4202</v>
      </c>
      <c r="Q54" s="27" t="n">
        <f aca="false">+M54/P54</f>
        <v>0.31984769157544</v>
      </c>
      <c r="R54" s="27" t="n">
        <f aca="false">+N54+P54</f>
        <v>6217</v>
      </c>
      <c r="S54" s="31" t="n">
        <v>87907</v>
      </c>
      <c r="T54" s="27" t="n">
        <f aca="false">+(L54+M54)/R54</f>
        <v>0.259449895447965</v>
      </c>
    </row>
    <row r="55" customFormat="false" ht="14.65" hidden="false" customHeight="false" outlineLevel="0" collapsed="false">
      <c r="A55" s="5" t="s">
        <v>60</v>
      </c>
      <c r="B55" s="18"/>
      <c r="C55" s="18"/>
      <c r="D55" s="18"/>
      <c r="E55" s="18"/>
      <c r="F55" s="18"/>
      <c r="G55" s="18"/>
      <c r="H55" s="18"/>
      <c r="I55" s="18"/>
      <c r="S55" s="32" t="n">
        <v>20587</v>
      </c>
    </row>
    <row r="56" customFormat="false" ht="14.65" hidden="false" customHeight="false" outlineLevel="0" collapsed="false">
      <c r="A56" s="6" t="s">
        <v>61</v>
      </c>
      <c r="B56" s="30"/>
      <c r="C56" s="30"/>
      <c r="D56" s="30"/>
      <c r="E56" s="30"/>
      <c r="F56" s="30"/>
      <c r="G56" s="30"/>
      <c r="H56" s="30"/>
      <c r="I56" s="30"/>
      <c r="J56" s="29" t="n">
        <f aca="false">SUM(J4:J54)</f>
        <v>205557</v>
      </c>
      <c r="K56" s="29" t="n">
        <f aca="false">SUM(K4:K54)</f>
        <v>678540</v>
      </c>
      <c r="L56" s="29" t="n">
        <f aca="false">SUM(L4:L54)</f>
        <v>441587</v>
      </c>
      <c r="M56" s="29" t="n">
        <f aca="false">SUM(M4:M54)</f>
        <v>921467</v>
      </c>
      <c r="N56" s="29"/>
      <c r="O56" s="29"/>
      <c r="P56" s="29"/>
      <c r="Q56" s="29"/>
      <c r="R56" s="29"/>
      <c r="S56" s="33" t="n">
        <v>22223595</v>
      </c>
      <c r="T56" s="29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:H59 B6:H59"/>
    </sheetView>
  </sheetViews>
  <sheetFormatPr defaultColWidth="11.0546875" defaultRowHeight="14.65" customHeight="false" zeroHeight="false" outlineLevelRow="0" outlineLevelCol="0"/>
  <sheetData>
    <row r="1" customFormat="false" ht="14.65" hidden="false" customHeight="false" outlineLevel="0" collapsed="false">
      <c r="A1" s="34"/>
      <c r="B1" s="3" t="s">
        <v>312</v>
      </c>
    </row>
    <row r="2" customFormat="false" ht="14.65" hidden="false" customHeight="false" outlineLevel="0" collapsed="false">
      <c r="A2" s="1"/>
      <c r="B2" s="3" t="s">
        <v>313</v>
      </c>
    </row>
    <row r="3" customFormat="false" ht="14.65" hidden="false" customHeight="false" outlineLevel="0" collapsed="false">
      <c r="A3" s="1"/>
      <c r="B3" s="3" t="s">
        <v>314</v>
      </c>
    </row>
    <row r="4" customFormat="false" ht="14.65" hidden="false" customHeight="false" outlineLevel="0" collapsed="false">
      <c r="A4" s="19" t="s">
        <v>108</v>
      </c>
      <c r="B4" s="3" t="s">
        <v>277</v>
      </c>
      <c r="C4" s="3" t="s">
        <v>277</v>
      </c>
      <c r="D4" s="3" t="s">
        <v>289</v>
      </c>
      <c r="E4" s="3" t="s">
        <v>235</v>
      </c>
      <c r="G4" s="3" t="s">
        <v>235</v>
      </c>
      <c r="H4" s="3" t="s">
        <v>235</v>
      </c>
    </row>
    <row r="5" customFormat="false" ht="14.65" hidden="false" customHeight="false" outlineLevel="0" collapsed="false">
      <c r="A5" s="1"/>
      <c r="B5" s="3" t="s">
        <v>236</v>
      </c>
      <c r="C5" s="3" t="s">
        <v>290</v>
      </c>
      <c r="E5" s="3" t="s">
        <v>236</v>
      </c>
      <c r="F5" s="3" t="s">
        <v>315</v>
      </c>
      <c r="G5" s="3" t="s">
        <v>290</v>
      </c>
      <c r="H5" s="3" t="s">
        <v>238</v>
      </c>
    </row>
    <row r="6" customFormat="false" ht="14.65" hidden="false" customHeight="false" outlineLevel="0" collapsed="false">
      <c r="A6" s="17"/>
      <c r="B6" s="17" t="s">
        <v>210</v>
      </c>
      <c r="C6" s="17" t="s">
        <v>211</v>
      </c>
      <c r="D6" s="17" t="s">
        <v>212</v>
      </c>
      <c r="E6" s="17" t="s">
        <v>213</v>
      </c>
      <c r="F6" s="17" t="s">
        <v>214</v>
      </c>
      <c r="G6" s="17" t="s">
        <v>215</v>
      </c>
      <c r="H6" s="17" t="s">
        <v>216</v>
      </c>
      <c r="I6" s="17"/>
    </row>
    <row r="7" customFormat="false" ht="14.65" hidden="false" customHeight="false" outlineLevel="0" collapsed="false">
      <c r="A7" s="4" t="s">
        <v>8</v>
      </c>
      <c r="B7" s="3" t="n">
        <v>4442</v>
      </c>
      <c r="C7" s="3" t="n">
        <v>18361</v>
      </c>
      <c r="D7" s="3" t="n">
        <v>22803</v>
      </c>
      <c r="E7" s="3" t="n">
        <v>4208</v>
      </c>
      <c r="F7" s="3" t="n">
        <v>326</v>
      </c>
      <c r="G7" s="3" t="n">
        <v>18425</v>
      </c>
      <c r="H7" s="3" t="n">
        <v>22959</v>
      </c>
    </row>
    <row r="8" customFormat="false" ht="14.65" hidden="false" customHeight="false" outlineLevel="0" collapsed="false">
      <c r="A8" s="4" t="s">
        <v>9</v>
      </c>
      <c r="B8" s="3" t="n">
        <v>677</v>
      </c>
      <c r="C8" s="3" t="n">
        <v>1328</v>
      </c>
      <c r="D8" s="3" t="n">
        <v>2005</v>
      </c>
      <c r="E8" s="3" t="n">
        <v>450</v>
      </c>
      <c r="F8" s="3" t="n">
        <v>0</v>
      </c>
      <c r="G8" s="3" t="n">
        <v>1386</v>
      </c>
      <c r="H8" s="3" t="n">
        <v>1836</v>
      </c>
    </row>
    <row r="9" customFormat="false" ht="14.65" hidden="false" customHeight="false" outlineLevel="0" collapsed="false">
      <c r="A9" s="4" t="s">
        <v>10</v>
      </c>
      <c r="B9" s="3" t="n">
        <v>5110</v>
      </c>
      <c r="C9" s="3" t="n">
        <v>8678</v>
      </c>
      <c r="D9" s="3" t="n">
        <v>13788</v>
      </c>
      <c r="E9" s="3" t="n">
        <v>3003</v>
      </c>
      <c r="F9" s="3" t="n">
        <v>1344</v>
      </c>
      <c r="G9" s="3" t="n">
        <v>16912</v>
      </c>
      <c r="H9" s="3" t="n">
        <v>21259</v>
      </c>
    </row>
    <row r="10" customFormat="false" ht="14.65" hidden="false" customHeight="false" outlineLevel="0" collapsed="false">
      <c r="A10" s="4" t="s">
        <v>11</v>
      </c>
      <c r="B10" s="3" t="n">
        <v>3140</v>
      </c>
      <c r="C10" s="3" t="n">
        <v>11908</v>
      </c>
      <c r="D10" s="3" t="n">
        <v>15048</v>
      </c>
      <c r="E10" s="3" t="n">
        <v>1758</v>
      </c>
      <c r="F10" s="3" t="n">
        <v>717</v>
      </c>
      <c r="G10" s="3" t="n">
        <v>5558</v>
      </c>
      <c r="H10" s="3" t="n">
        <v>8033</v>
      </c>
    </row>
    <row r="11" customFormat="false" ht="14.65" hidden="false" customHeight="false" outlineLevel="0" collapsed="false">
      <c r="A11" s="5" t="s">
        <v>12</v>
      </c>
      <c r="B11" s="3" t="n">
        <v>14322</v>
      </c>
      <c r="C11" s="3" t="n">
        <v>37875</v>
      </c>
      <c r="D11" s="3" t="n">
        <v>52197</v>
      </c>
      <c r="E11" s="3" t="n">
        <v>52566</v>
      </c>
      <c r="F11" s="3" t="n">
        <v>42332</v>
      </c>
      <c r="G11" s="3" t="n">
        <v>115453</v>
      </c>
      <c r="H11" s="3" t="n">
        <v>210351</v>
      </c>
    </row>
    <row r="12" customFormat="false" ht="14.65" hidden="false" customHeight="false" outlineLevel="0" collapsed="false">
      <c r="A12" s="4" t="s">
        <v>13</v>
      </c>
      <c r="B12" s="3" t="n">
        <v>3661</v>
      </c>
      <c r="C12" s="3" t="n">
        <v>8913</v>
      </c>
      <c r="D12" s="3" t="n">
        <v>12574</v>
      </c>
      <c r="E12" s="3" t="n">
        <v>3793</v>
      </c>
      <c r="F12" s="3" t="n">
        <v>2406</v>
      </c>
      <c r="G12" s="3" t="n">
        <v>12035</v>
      </c>
      <c r="H12" s="3" t="n">
        <v>18234</v>
      </c>
    </row>
    <row r="13" customFormat="false" ht="14.65" hidden="false" customHeight="false" outlineLevel="0" collapsed="false">
      <c r="A13" s="4" t="s">
        <v>14</v>
      </c>
      <c r="B13" s="3" t="n">
        <v>1357</v>
      </c>
      <c r="C13" s="3" t="n">
        <v>4711</v>
      </c>
      <c r="D13" s="3" t="n">
        <v>6068</v>
      </c>
      <c r="E13" s="3" t="n">
        <v>6758</v>
      </c>
      <c r="F13" s="3" t="n">
        <v>2623</v>
      </c>
      <c r="G13" s="3" t="n">
        <v>11010</v>
      </c>
      <c r="H13" s="3" t="n">
        <v>20391</v>
      </c>
    </row>
    <row r="14" customFormat="false" ht="14.65" hidden="false" customHeight="false" outlineLevel="0" collapsed="false">
      <c r="A14" s="4" t="s">
        <v>15</v>
      </c>
      <c r="B14" s="3" t="n">
        <v>0</v>
      </c>
      <c r="C14" s="3" t="n">
        <v>2685</v>
      </c>
      <c r="D14" s="3" t="n">
        <v>2685</v>
      </c>
      <c r="E14" s="3" t="n">
        <v>989</v>
      </c>
      <c r="F14" s="3" t="n">
        <v>38</v>
      </c>
      <c r="G14" s="3" t="n">
        <v>3180</v>
      </c>
      <c r="H14" s="3" t="n">
        <v>4207</v>
      </c>
    </row>
    <row r="15" customFormat="false" ht="14.65" hidden="false" customHeight="false" outlineLevel="0" collapsed="false">
      <c r="A15" s="5" t="s">
        <v>16</v>
      </c>
      <c r="B15" s="3" t="n">
        <v>0</v>
      </c>
      <c r="C15" s="3" t="n">
        <v>0</v>
      </c>
      <c r="D15" s="3" t="n">
        <v>0</v>
      </c>
      <c r="E15" s="3" t="n">
        <v>469</v>
      </c>
      <c r="F15" s="3" t="n">
        <v>393</v>
      </c>
      <c r="G15" s="3" t="n">
        <v>2700</v>
      </c>
      <c r="H15" s="3" t="n">
        <v>3562</v>
      </c>
    </row>
    <row r="16" customFormat="false" ht="14.65" hidden="false" customHeight="false" outlineLevel="0" collapsed="false">
      <c r="A16" s="4" t="s">
        <v>17</v>
      </c>
      <c r="B16" s="3" t="n">
        <v>10183</v>
      </c>
      <c r="C16" s="3" t="n">
        <v>24818</v>
      </c>
      <c r="D16" s="3" t="n">
        <v>35001</v>
      </c>
      <c r="E16" s="3" t="n">
        <v>12034</v>
      </c>
      <c r="F16" s="3" t="n">
        <v>4319</v>
      </c>
      <c r="G16" s="3" t="n">
        <v>68514</v>
      </c>
      <c r="H16" s="3" t="n">
        <v>84867</v>
      </c>
    </row>
    <row r="17" customFormat="false" ht="14.65" hidden="false" customHeight="false" outlineLevel="0" collapsed="false">
      <c r="A17" s="4" t="s">
        <v>18</v>
      </c>
      <c r="B17" s="3" t="n">
        <v>8419</v>
      </c>
      <c r="C17" s="3" t="n">
        <v>23753</v>
      </c>
      <c r="D17" s="3" t="n">
        <v>32172</v>
      </c>
      <c r="E17" s="3" t="n">
        <v>11889</v>
      </c>
      <c r="F17" s="3" t="n">
        <v>1646</v>
      </c>
      <c r="G17" s="3" t="n">
        <v>32197</v>
      </c>
      <c r="H17" s="3" t="n">
        <v>45732</v>
      </c>
    </row>
    <row r="18" customFormat="false" ht="14.65" hidden="false" customHeight="false" outlineLevel="0" collapsed="false">
      <c r="A18" s="4" t="s">
        <v>19</v>
      </c>
      <c r="B18" s="3" t="n">
        <v>0</v>
      </c>
      <c r="C18" s="3" t="n">
        <v>2148</v>
      </c>
      <c r="D18" s="3" t="n">
        <v>2148</v>
      </c>
      <c r="E18" s="3" t="n">
        <v>1533</v>
      </c>
      <c r="F18" s="3" t="n">
        <v>804</v>
      </c>
      <c r="G18" s="3" t="n">
        <v>3581</v>
      </c>
      <c r="H18" s="3" t="n">
        <v>5918</v>
      </c>
    </row>
    <row r="19" customFormat="false" ht="14.65" hidden="false" customHeight="false" outlineLevel="0" collapsed="false">
      <c r="A19" s="5" t="s">
        <v>21</v>
      </c>
      <c r="B19" s="3" t="n">
        <v>1667</v>
      </c>
      <c r="C19" s="3" t="n">
        <v>5540</v>
      </c>
      <c r="D19" s="3" t="n">
        <v>7207</v>
      </c>
      <c r="E19" s="3" t="n">
        <v>741</v>
      </c>
      <c r="F19" s="3" t="n">
        <v>0</v>
      </c>
      <c r="G19" s="3" t="n">
        <v>2816</v>
      </c>
      <c r="H19" s="3" t="n">
        <v>3557</v>
      </c>
    </row>
    <row r="20" customFormat="false" ht="14.65" hidden="false" customHeight="false" outlineLevel="0" collapsed="false">
      <c r="A20" s="4" t="s">
        <v>22</v>
      </c>
      <c r="B20" s="3" t="n">
        <v>8428</v>
      </c>
      <c r="C20" s="3" t="n">
        <v>19826</v>
      </c>
      <c r="D20" s="3" t="n">
        <v>28254</v>
      </c>
      <c r="E20" s="3" t="n">
        <v>14447</v>
      </c>
      <c r="F20" s="3" t="n">
        <v>1047</v>
      </c>
      <c r="G20" s="3" t="n">
        <v>43894</v>
      </c>
      <c r="H20" s="3" t="n">
        <v>59388</v>
      </c>
    </row>
    <row r="21" customFormat="false" ht="14.65" hidden="false" customHeight="false" outlineLevel="0" collapsed="false">
      <c r="A21" s="4" t="s">
        <v>23</v>
      </c>
      <c r="B21" s="3" t="n">
        <v>6646</v>
      </c>
      <c r="C21" s="3" t="n">
        <v>22606</v>
      </c>
      <c r="D21" s="3" t="n">
        <v>29252</v>
      </c>
      <c r="E21" s="3" t="n">
        <v>5537</v>
      </c>
      <c r="F21" s="3" t="n">
        <v>774</v>
      </c>
      <c r="G21" s="3" t="n">
        <v>21509</v>
      </c>
      <c r="H21" s="3" t="n">
        <v>27820</v>
      </c>
    </row>
    <row r="22" customFormat="false" ht="14.65" hidden="false" customHeight="false" outlineLevel="0" collapsed="false">
      <c r="A22" s="4" t="s">
        <v>24</v>
      </c>
      <c r="B22" s="3" t="n">
        <v>3406</v>
      </c>
      <c r="C22" s="3" t="n">
        <v>11958</v>
      </c>
      <c r="D22" s="3" t="n">
        <v>15364</v>
      </c>
      <c r="E22" s="3" t="n">
        <v>1554</v>
      </c>
      <c r="F22" s="3" t="n">
        <v>0</v>
      </c>
      <c r="G22" s="3" t="n">
        <v>7008</v>
      </c>
      <c r="H22" s="3" t="n">
        <v>8562</v>
      </c>
    </row>
    <row r="23" customFormat="false" ht="14.65" hidden="false" customHeight="false" outlineLevel="0" collapsed="false">
      <c r="A23" s="5" t="s">
        <v>25</v>
      </c>
      <c r="B23" s="3" t="n">
        <v>2573</v>
      </c>
      <c r="C23" s="3" t="n">
        <v>10317</v>
      </c>
      <c r="D23" s="3" t="n">
        <v>12890</v>
      </c>
      <c r="E23" s="3" t="n">
        <v>2233</v>
      </c>
      <c r="F23" s="3" t="n">
        <v>905</v>
      </c>
      <c r="G23" s="3" t="n">
        <v>8135</v>
      </c>
      <c r="H23" s="3" t="n">
        <v>11273</v>
      </c>
    </row>
    <row r="24" customFormat="false" ht="14.65" hidden="false" customHeight="false" outlineLevel="0" collapsed="false">
      <c r="A24" s="4" t="s">
        <v>26</v>
      </c>
      <c r="B24" s="3" t="n">
        <v>4737</v>
      </c>
      <c r="C24" s="3" t="n">
        <v>16656</v>
      </c>
      <c r="D24" s="3" t="n">
        <v>21393</v>
      </c>
      <c r="E24" s="3" t="n">
        <v>4384</v>
      </c>
      <c r="F24" s="3" t="n">
        <v>559</v>
      </c>
      <c r="G24" s="3" t="n">
        <v>11726</v>
      </c>
      <c r="H24" s="3" t="n">
        <v>16669</v>
      </c>
    </row>
    <row r="25" customFormat="false" ht="14.65" hidden="false" customHeight="false" outlineLevel="0" collapsed="false">
      <c r="A25" s="4" t="s">
        <v>27</v>
      </c>
      <c r="B25" s="3" t="n">
        <v>4197</v>
      </c>
      <c r="C25" s="3" t="n">
        <v>12860</v>
      </c>
      <c r="D25" s="3" t="n">
        <v>17057</v>
      </c>
      <c r="E25" s="3" t="n">
        <v>3847</v>
      </c>
      <c r="F25" s="3" t="n">
        <v>488</v>
      </c>
      <c r="G25" s="3" t="n">
        <v>12463</v>
      </c>
      <c r="H25" s="3" t="n">
        <v>16798</v>
      </c>
    </row>
    <row r="26" customFormat="false" ht="14.65" hidden="false" customHeight="false" outlineLevel="0" collapsed="false">
      <c r="A26" s="4" t="s">
        <v>28</v>
      </c>
      <c r="B26" s="3" t="n">
        <v>1725</v>
      </c>
      <c r="C26" s="3" t="n">
        <v>7239</v>
      </c>
      <c r="D26" s="3" t="n">
        <v>8964</v>
      </c>
      <c r="E26" s="3" t="n">
        <v>480</v>
      </c>
      <c r="F26" s="3" t="n">
        <v>95</v>
      </c>
      <c r="G26" s="3" t="n">
        <v>2612</v>
      </c>
      <c r="H26" s="3" t="n">
        <v>3187</v>
      </c>
    </row>
    <row r="27" customFormat="false" ht="14.65" hidden="false" customHeight="false" outlineLevel="0" collapsed="false">
      <c r="A27" s="5" t="s">
        <v>29</v>
      </c>
      <c r="B27" s="3" t="n">
        <v>2913</v>
      </c>
      <c r="C27" s="3" t="n">
        <v>9889</v>
      </c>
      <c r="D27" s="3" t="n">
        <v>12802</v>
      </c>
      <c r="E27" s="3" t="n">
        <v>9086</v>
      </c>
      <c r="F27" s="3" t="n">
        <v>3406</v>
      </c>
      <c r="G27" s="3" t="n">
        <v>16602</v>
      </c>
      <c r="H27" s="3" t="n">
        <v>29094</v>
      </c>
    </row>
    <row r="28" customFormat="false" ht="14.65" hidden="false" customHeight="false" outlineLevel="0" collapsed="false">
      <c r="A28" s="4" t="s">
        <v>30</v>
      </c>
      <c r="B28" s="3" t="n">
        <v>2176</v>
      </c>
      <c r="C28" s="3" t="n">
        <v>6615</v>
      </c>
      <c r="D28" s="3" t="n">
        <v>8791</v>
      </c>
      <c r="E28" s="3" t="n">
        <v>10733</v>
      </c>
      <c r="F28" s="3" t="n">
        <v>4490</v>
      </c>
      <c r="G28" s="3" t="n">
        <v>23334</v>
      </c>
      <c r="H28" s="3" t="n">
        <v>38557</v>
      </c>
    </row>
    <row r="29" customFormat="false" ht="14.65" hidden="false" customHeight="false" outlineLevel="0" collapsed="false">
      <c r="A29" s="4" t="s">
        <v>31</v>
      </c>
      <c r="B29" s="3" t="n">
        <v>5614</v>
      </c>
      <c r="C29" s="3" t="n">
        <v>25620</v>
      </c>
      <c r="D29" s="3" t="n">
        <v>31234</v>
      </c>
      <c r="E29" s="3" t="n">
        <v>12601</v>
      </c>
      <c r="F29" s="3" t="n">
        <v>3965</v>
      </c>
      <c r="G29" s="3" t="n">
        <v>36419</v>
      </c>
      <c r="H29" s="3" t="n">
        <v>52985</v>
      </c>
    </row>
    <row r="30" customFormat="false" ht="14.65" hidden="false" customHeight="false" outlineLevel="0" collapsed="false">
      <c r="A30" s="4" t="s">
        <v>32</v>
      </c>
      <c r="B30" s="3" t="n">
        <v>3201</v>
      </c>
      <c r="C30" s="3" t="n">
        <v>16769</v>
      </c>
      <c r="D30" s="3" t="n">
        <v>19970</v>
      </c>
      <c r="E30" s="3" t="n">
        <v>5320</v>
      </c>
      <c r="F30" s="3" t="n">
        <v>2216</v>
      </c>
      <c r="G30" s="3" t="n">
        <v>13656</v>
      </c>
      <c r="H30" s="3" t="n">
        <v>21192</v>
      </c>
    </row>
    <row r="31" customFormat="false" ht="14.65" hidden="false" customHeight="false" outlineLevel="0" collapsed="false">
      <c r="A31" s="5" t="s">
        <v>33</v>
      </c>
      <c r="B31" s="3" t="n">
        <v>2951</v>
      </c>
      <c r="C31" s="3" t="n">
        <v>14570</v>
      </c>
      <c r="D31" s="3" t="n">
        <v>17521</v>
      </c>
      <c r="E31" s="3" t="n">
        <v>1383</v>
      </c>
      <c r="F31" s="3" t="n">
        <v>185</v>
      </c>
      <c r="G31" s="3" t="n">
        <v>7150</v>
      </c>
      <c r="H31" s="3" t="n">
        <v>8718</v>
      </c>
    </row>
    <row r="32" customFormat="false" ht="14.65" hidden="false" customHeight="false" outlineLevel="0" collapsed="false">
      <c r="A32" s="4" t="s">
        <v>34</v>
      </c>
      <c r="B32" s="3" t="n">
        <v>5504</v>
      </c>
      <c r="C32" s="3" t="n">
        <v>19464</v>
      </c>
      <c r="D32" s="3" t="n">
        <v>24968</v>
      </c>
      <c r="E32" s="3" t="n">
        <v>8497</v>
      </c>
      <c r="F32" s="3" t="n">
        <v>2326</v>
      </c>
      <c r="G32" s="3" t="n">
        <v>17463</v>
      </c>
      <c r="H32" s="3" t="n">
        <v>28286</v>
      </c>
    </row>
    <row r="33" customFormat="false" ht="14.65" hidden="false" customHeight="false" outlineLevel="0" collapsed="false">
      <c r="A33" s="4" t="s">
        <v>35</v>
      </c>
      <c r="B33" s="3" t="n">
        <v>1928</v>
      </c>
      <c r="C33" s="3" t="n">
        <v>4574</v>
      </c>
      <c r="D33" s="3" t="n">
        <v>6502</v>
      </c>
      <c r="E33" s="3" t="n">
        <v>184</v>
      </c>
      <c r="F33" s="3" t="n">
        <v>0</v>
      </c>
      <c r="G33" s="3" t="n">
        <v>1839</v>
      </c>
      <c r="H33" s="3" t="n">
        <v>2023</v>
      </c>
    </row>
    <row r="34" customFormat="false" ht="14.65" hidden="false" customHeight="false" outlineLevel="0" collapsed="false">
      <c r="A34" s="4" t="s">
        <v>36</v>
      </c>
      <c r="B34" s="3" t="n">
        <v>1994</v>
      </c>
      <c r="C34" s="3" t="n">
        <v>6966</v>
      </c>
      <c r="D34" s="3" t="n">
        <v>8960</v>
      </c>
      <c r="E34" s="3" t="n">
        <v>734</v>
      </c>
      <c r="F34" s="3" t="n">
        <v>93</v>
      </c>
      <c r="G34" s="3" t="n">
        <v>4834</v>
      </c>
      <c r="H34" s="3" t="n">
        <v>5661</v>
      </c>
    </row>
    <row r="35" customFormat="false" ht="14.65" hidden="false" customHeight="false" outlineLevel="0" collapsed="false">
      <c r="A35" s="5" t="s">
        <v>37</v>
      </c>
      <c r="B35" s="3" t="n">
        <v>1522</v>
      </c>
      <c r="C35" s="3" t="n">
        <v>2957</v>
      </c>
      <c r="D35" s="3" t="n">
        <v>4479</v>
      </c>
      <c r="E35" s="3" t="n">
        <v>1147</v>
      </c>
      <c r="F35" s="3" t="n">
        <v>579</v>
      </c>
      <c r="G35" s="3" t="n">
        <v>4692</v>
      </c>
      <c r="H35" s="3" t="n">
        <v>6418</v>
      </c>
    </row>
    <row r="36" customFormat="false" ht="14.65" hidden="false" customHeight="false" outlineLevel="0" collapsed="false">
      <c r="A36" s="4" t="s">
        <v>38</v>
      </c>
      <c r="B36" s="3" t="n">
        <v>1330</v>
      </c>
      <c r="C36" s="3" t="n">
        <v>5025</v>
      </c>
      <c r="D36" s="3" t="n">
        <v>6355</v>
      </c>
      <c r="E36" s="3" t="n">
        <v>712</v>
      </c>
      <c r="F36" s="3" t="n">
        <v>448</v>
      </c>
      <c r="G36" s="3" t="n">
        <v>2552</v>
      </c>
      <c r="H36" s="3" t="n">
        <v>3712</v>
      </c>
    </row>
    <row r="37" customFormat="false" ht="14.65" hidden="false" customHeight="false" outlineLevel="0" collapsed="false">
      <c r="A37" s="4" t="s">
        <v>39</v>
      </c>
      <c r="B37" s="3" t="n">
        <v>2124</v>
      </c>
      <c r="C37" s="3" t="n">
        <v>9726</v>
      </c>
      <c r="D37" s="3" t="n">
        <v>11850</v>
      </c>
      <c r="E37" s="3" t="n">
        <v>8110</v>
      </c>
      <c r="F37" s="3" t="n">
        <v>5734</v>
      </c>
      <c r="G37" s="3" t="n">
        <v>33716</v>
      </c>
      <c r="H37" s="3" t="n">
        <v>47560</v>
      </c>
    </row>
    <row r="38" customFormat="false" ht="14.65" hidden="false" customHeight="false" outlineLevel="0" collapsed="false">
      <c r="A38" s="4" t="s">
        <v>40</v>
      </c>
      <c r="B38" s="3" t="n">
        <v>3659</v>
      </c>
      <c r="C38" s="3" t="n">
        <v>7989</v>
      </c>
      <c r="D38" s="3" t="n">
        <v>11648</v>
      </c>
      <c r="E38" s="3" t="n">
        <v>1202</v>
      </c>
      <c r="F38" s="3" t="n">
        <v>2</v>
      </c>
      <c r="G38" s="3" t="n">
        <v>5600</v>
      </c>
      <c r="H38" s="3" t="n">
        <v>6804</v>
      </c>
    </row>
    <row r="39" customFormat="false" ht="14.65" hidden="false" customHeight="false" outlineLevel="0" collapsed="false">
      <c r="A39" s="5" t="s">
        <v>41</v>
      </c>
      <c r="B39" s="3" t="n">
        <v>5381</v>
      </c>
      <c r="C39" s="3" t="n">
        <v>24961</v>
      </c>
      <c r="D39" s="3" t="n">
        <v>30342</v>
      </c>
      <c r="E39" s="3" t="n">
        <v>14475</v>
      </c>
      <c r="F39" s="3" t="n">
        <v>14327</v>
      </c>
      <c r="G39" s="3" t="n">
        <v>50737</v>
      </c>
      <c r="H39" s="3" t="n">
        <v>79539</v>
      </c>
    </row>
    <row r="40" customFormat="false" ht="14.65" hidden="false" customHeight="false" outlineLevel="0" collapsed="false">
      <c r="A40" s="4" t="s">
        <v>42</v>
      </c>
      <c r="B40" s="3" t="n">
        <v>6237</v>
      </c>
      <c r="C40" s="3" t="n">
        <v>27529</v>
      </c>
      <c r="D40" s="3" t="n">
        <v>33766</v>
      </c>
      <c r="E40" s="3" t="n">
        <v>6050</v>
      </c>
      <c r="F40" s="3" t="n">
        <v>2464</v>
      </c>
      <c r="G40" s="3" t="n">
        <v>25258</v>
      </c>
      <c r="H40" s="3" t="n">
        <v>33772</v>
      </c>
    </row>
    <row r="41" customFormat="false" ht="14.65" hidden="false" customHeight="false" outlineLevel="0" collapsed="false">
      <c r="A41" s="4" t="s">
        <v>43</v>
      </c>
      <c r="B41" s="3" t="n">
        <v>1012</v>
      </c>
      <c r="C41" s="3" t="n">
        <v>3485</v>
      </c>
      <c r="D41" s="3" t="n">
        <v>4497</v>
      </c>
      <c r="E41" s="3" t="n">
        <v>188</v>
      </c>
      <c r="F41" s="3" t="n">
        <v>0</v>
      </c>
      <c r="G41" s="3" t="n">
        <v>1387</v>
      </c>
      <c r="H41" s="3" t="n">
        <v>1575</v>
      </c>
    </row>
    <row r="42" customFormat="false" ht="14.65" hidden="false" customHeight="false" outlineLevel="0" collapsed="false">
      <c r="A42" s="4" t="s">
        <v>44</v>
      </c>
      <c r="B42" s="3" t="n">
        <v>8276</v>
      </c>
      <c r="C42" s="3" t="n">
        <v>29153</v>
      </c>
      <c r="D42" s="3" t="n">
        <v>37429</v>
      </c>
      <c r="E42" s="3" t="n">
        <v>15929</v>
      </c>
      <c r="F42" s="3" t="n">
        <v>3608</v>
      </c>
      <c r="G42" s="3" t="n">
        <v>38255</v>
      </c>
      <c r="H42" s="3" t="n">
        <v>57792</v>
      </c>
    </row>
    <row r="43" customFormat="false" ht="14.65" hidden="false" customHeight="false" outlineLevel="0" collapsed="false">
      <c r="A43" s="5" t="s">
        <v>45</v>
      </c>
      <c r="B43" s="3" t="n">
        <v>3705</v>
      </c>
      <c r="C43" s="3" t="n">
        <v>13662</v>
      </c>
      <c r="D43" s="3" t="n">
        <v>17367</v>
      </c>
      <c r="E43" s="3" t="n">
        <v>3365</v>
      </c>
      <c r="F43" s="3" t="n">
        <v>1831</v>
      </c>
      <c r="G43" s="3" t="n">
        <v>12556</v>
      </c>
      <c r="H43" s="3" t="n">
        <v>17752</v>
      </c>
    </row>
    <row r="44" customFormat="false" ht="14.65" hidden="false" customHeight="false" outlineLevel="0" collapsed="false">
      <c r="A44" s="4" t="s">
        <v>46</v>
      </c>
      <c r="B44" s="3" t="n">
        <v>3812</v>
      </c>
      <c r="C44" s="3" t="n">
        <v>11724</v>
      </c>
      <c r="D44" s="3" t="n">
        <v>15536</v>
      </c>
      <c r="E44" s="3" t="n">
        <v>2966</v>
      </c>
      <c r="F44" s="3" t="n">
        <v>971</v>
      </c>
      <c r="G44" s="3" t="n">
        <v>8453</v>
      </c>
      <c r="H44" s="3" t="n">
        <v>12390</v>
      </c>
    </row>
    <row r="45" customFormat="false" ht="14.65" hidden="false" customHeight="false" outlineLevel="0" collapsed="false">
      <c r="A45" s="4" t="s">
        <v>47</v>
      </c>
      <c r="B45" s="3" t="n">
        <v>7381</v>
      </c>
      <c r="C45" s="3" t="n">
        <v>29968</v>
      </c>
      <c r="D45" s="3" t="n">
        <v>37349</v>
      </c>
      <c r="E45" s="3" t="n">
        <v>8839</v>
      </c>
      <c r="F45" s="3" t="n">
        <v>4656</v>
      </c>
      <c r="G45" s="3" t="n">
        <v>38356</v>
      </c>
      <c r="H45" s="3" t="n">
        <v>51851</v>
      </c>
    </row>
    <row r="46" customFormat="false" ht="14.65" hidden="false" customHeight="false" outlineLevel="0" collapsed="false">
      <c r="A46" s="4" t="s">
        <v>48</v>
      </c>
      <c r="B46" s="3" t="n">
        <v>278</v>
      </c>
      <c r="C46" s="3" t="n">
        <v>851</v>
      </c>
      <c r="D46" s="3" t="n">
        <v>1129</v>
      </c>
      <c r="E46" s="3" t="n">
        <v>1407</v>
      </c>
      <c r="F46" s="3" t="n">
        <v>601</v>
      </c>
      <c r="G46" s="3" t="n">
        <v>4422</v>
      </c>
      <c r="H46" s="3" t="n">
        <v>6430</v>
      </c>
    </row>
    <row r="47" customFormat="false" ht="14.65" hidden="false" customHeight="false" outlineLevel="0" collapsed="false">
      <c r="A47" s="5" t="s">
        <v>49</v>
      </c>
      <c r="B47" s="3" t="n">
        <v>5945</v>
      </c>
      <c r="C47" s="3" t="n">
        <v>15168</v>
      </c>
      <c r="D47" s="3" t="n">
        <v>21113</v>
      </c>
      <c r="E47" s="3" t="n">
        <v>2427</v>
      </c>
      <c r="F47" s="3" t="n">
        <v>589</v>
      </c>
      <c r="G47" s="3" t="n">
        <v>10920</v>
      </c>
      <c r="H47" s="3" t="n">
        <v>13936</v>
      </c>
    </row>
    <row r="48" customFormat="false" ht="14.65" hidden="false" customHeight="false" outlineLevel="0" collapsed="false">
      <c r="A48" s="4" t="s">
        <v>50</v>
      </c>
      <c r="B48" s="3" t="n">
        <v>1354</v>
      </c>
      <c r="C48" s="3" t="n">
        <v>4324</v>
      </c>
      <c r="D48" s="3" t="n">
        <v>5678</v>
      </c>
      <c r="E48" s="3" t="n">
        <v>229</v>
      </c>
      <c r="F48" s="3" t="n">
        <v>17</v>
      </c>
      <c r="G48" s="3" t="n">
        <v>1294</v>
      </c>
      <c r="H48" s="3" t="n">
        <v>1540</v>
      </c>
    </row>
    <row r="49" customFormat="false" ht="14.65" hidden="false" customHeight="false" outlineLevel="0" collapsed="false">
      <c r="A49" s="4" t="s">
        <v>51</v>
      </c>
      <c r="B49" s="3" t="n">
        <v>6603</v>
      </c>
      <c r="C49" s="3" t="n">
        <v>15998</v>
      </c>
      <c r="D49" s="3" t="n">
        <v>22601</v>
      </c>
      <c r="E49" s="3" t="n">
        <v>6473</v>
      </c>
      <c r="F49" s="3" t="n">
        <v>871</v>
      </c>
      <c r="G49" s="3" t="n">
        <v>20049</v>
      </c>
      <c r="H49" s="3" t="n">
        <v>27393</v>
      </c>
    </row>
    <row r="50" customFormat="false" ht="14.65" hidden="false" customHeight="false" outlineLevel="0" collapsed="false">
      <c r="A50" s="4" t="s">
        <v>52</v>
      </c>
      <c r="B50" s="3" t="n">
        <v>12612</v>
      </c>
      <c r="C50" s="3" t="n">
        <v>44556</v>
      </c>
      <c r="D50" s="3" t="n">
        <v>57168</v>
      </c>
      <c r="E50" s="3" t="n">
        <v>23998</v>
      </c>
      <c r="F50" s="3" t="n">
        <v>15234</v>
      </c>
      <c r="G50" s="3" t="n">
        <v>66929</v>
      </c>
      <c r="H50" s="3" t="n">
        <v>106161</v>
      </c>
    </row>
    <row r="51" customFormat="false" ht="14.65" hidden="false" customHeight="false" outlineLevel="0" collapsed="false">
      <c r="A51" s="5" t="s">
        <v>53</v>
      </c>
      <c r="B51" s="3" t="n">
        <v>2309</v>
      </c>
      <c r="C51" s="3" t="n">
        <v>3633</v>
      </c>
      <c r="D51" s="3" t="n">
        <v>5942</v>
      </c>
      <c r="E51" s="3" t="n">
        <v>3321</v>
      </c>
      <c r="F51" s="3" t="n">
        <v>90</v>
      </c>
      <c r="G51" s="3" t="n">
        <v>6954</v>
      </c>
      <c r="H51" s="3" t="n">
        <v>10365</v>
      </c>
    </row>
    <row r="52" customFormat="false" ht="14.65" hidden="false" customHeight="false" outlineLevel="0" collapsed="false">
      <c r="A52" s="4" t="s">
        <v>54</v>
      </c>
      <c r="B52" s="3" t="n">
        <v>1011</v>
      </c>
      <c r="C52" s="3" t="n">
        <v>3304</v>
      </c>
      <c r="D52" s="3" t="n">
        <v>4315</v>
      </c>
      <c r="E52" s="3" t="n">
        <v>284</v>
      </c>
      <c r="F52" s="3" t="n">
        <v>51</v>
      </c>
      <c r="G52" s="3" t="n">
        <v>1369</v>
      </c>
      <c r="H52" s="3" t="n">
        <v>1704</v>
      </c>
    </row>
    <row r="53" customFormat="false" ht="14.65" hidden="false" customHeight="false" outlineLevel="0" collapsed="false">
      <c r="A53" s="4" t="s">
        <v>55</v>
      </c>
      <c r="B53" s="3" t="n">
        <v>7511</v>
      </c>
      <c r="C53" s="3" t="n">
        <v>22259</v>
      </c>
      <c r="D53" s="3" t="n">
        <v>29770</v>
      </c>
      <c r="E53" s="3" t="n">
        <v>8174</v>
      </c>
      <c r="F53" s="3" t="n">
        <v>2263</v>
      </c>
      <c r="G53" s="3" t="n">
        <v>23240</v>
      </c>
      <c r="H53" s="3" t="n">
        <v>33677</v>
      </c>
    </row>
    <row r="54" customFormat="false" ht="14.65" hidden="false" customHeight="false" outlineLevel="0" collapsed="false">
      <c r="A54" s="4" t="s">
        <v>56</v>
      </c>
      <c r="B54" s="3" t="n">
        <v>3563</v>
      </c>
      <c r="C54" s="3" t="n">
        <v>13129</v>
      </c>
      <c r="D54" s="3" t="n">
        <v>16692</v>
      </c>
      <c r="E54" s="3" t="n">
        <v>8350</v>
      </c>
      <c r="F54" s="3" t="n">
        <v>3841</v>
      </c>
      <c r="G54" s="3" t="n">
        <v>20503</v>
      </c>
      <c r="H54" s="3" t="n">
        <v>32694</v>
      </c>
    </row>
    <row r="55" customFormat="false" ht="14.65" hidden="false" customHeight="false" outlineLevel="0" collapsed="false">
      <c r="A55" s="5" t="s">
        <v>57</v>
      </c>
      <c r="B55" s="3" t="n">
        <v>2979</v>
      </c>
      <c r="C55" s="3" t="n">
        <v>8853</v>
      </c>
      <c r="D55" s="3" t="n">
        <v>11832</v>
      </c>
      <c r="E55" s="3" t="n">
        <v>1169</v>
      </c>
      <c r="F55" s="3" t="n">
        <v>414</v>
      </c>
      <c r="G55" s="3" t="n">
        <v>3063</v>
      </c>
      <c r="H55" s="3" t="n">
        <v>4646</v>
      </c>
    </row>
    <row r="56" customFormat="false" ht="14.65" hidden="false" customHeight="false" outlineLevel="0" collapsed="false">
      <c r="A56" s="4" t="s">
        <v>58</v>
      </c>
      <c r="B56" s="3" t="n">
        <v>4236</v>
      </c>
      <c r="C56" s="3" t="n">
        <v>20781</v>
      </c>
      <c r="D56" s="3" t="n">
        <v>25017</v>
      </c>
      <c r="E56" s="3" t="n">
        <v>2988</v>
      </c>
      <c r="F56" s="3" t="n">
        <v>2216</v>
      </c>
      <c r="G56" s="3" t="n">
        <v>17407</v>
      </c>
      <c r="H56" s="3" t="n">
        <v>22611</v>
      </c>
    </row>
    <row r="57" customFormat="false" ht="14.65" hidden="false" customHeight="false" outlineLevel="0" collapsed="false">
      <c r="A57" s="4" t="s">
        <v>59</v>
      </c>
      <c r="B57" s="3" t="n">
        <v>1746</v>
      </c>
      <c r="C57" s="3" t="n">
        <v>2858</v>
      </c>
      <c r="D57" s="3" t="n">
        <v>4604</v>
      </c>
      <c r="E57" s="3" t="n">
        <v>261</v>
      </c>
      <c r="F57" s="3" t="n">
        <v>8</v>
      </c>
      <c r="G57" s="3" t="n">
        <v>1344</v>
      </c>
      <c r="H57" s="3" t="n">
        <v>1613</v>
      </c>
    </row>
    <row r="58" customFormat="false" ht="14.65" hidden="false" customHeight="false" outlineLevel="0" collapsed="false">
      <c r="A58" s="5" t="s">
        <v>60</v>
      </c>
    </row>
    <row r="59" customFormat="false" ht="14.65" hidden="false" customHeight="false" outlineLevel="0" collapsed="false">
      <c r="A59" s="6" t="s">
        <v>61</v>
      </c>
      <c r="B59" s="29" t="n">
        <f aca="false">SUM(B7:B57)</f>
        <v>205557</v>
      </c>
      <c r="C59" s="29" t="n">
        <f aca="false">SUM(C7:C57)</f>
        <v>678540</v>
      </c>
      <c r="D59" s="29" t="n">
        <f aca="false">SUM(D7:D57)</f>
        <v>884097</v>
      </c>
      <c r="E59" s="29" t="n">
        <f aca="false">SUM(E7:E57)</f>
        <v>303275</v>
      </c>
      <c r="F59" s="29" t="n">
        <f aca="false">SUM(F7:F57)</f>
        <v>138312</v>
      </c>
      <c r="G59" s="29" t="n">
        <f aca="false">SUM(G7:G57)</f>
        <v>921467</v>
      </c>
      <c r="H59" s="29" t="n">
        <f aca="false">SUM(H7:H57)</f>
        <v>1363054</v>
      </c>
      <c r="I59" s="29" t="n">
        <f aca="false">SUM(I7:I57)</f>
        <v>0</v>
      </c>
    </row>
    <row r="60" customFormat="false" ht="14.65" hidden="false" customHeight="false" outlineLevel="0" collapsed="false">
      <c r="E60" s="29" t="n">
        <f aca="false">+E59+F59</f>
        <v>441587</v>
      </c>
    </row>
    <row r="61" customFormat="false" ht="14.65" hidden="false" customHeight="false" outlineLevel="0" collapsed="false">
      <c r="E61" s="3" t="n">
        <v>441587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:N66 B14:N66"/>
    </sheetView>
  </sheetViews>
  <sheetFormatPr defaultColWidth="12.70703125" defaultRowHeight="12" customHeight="true" zeroHeight="false" outlineLevelRow="0" outlineLevelCol="0"/>
  <cols>
    <col collapsed="false" customWidth="false" hidden="false" outlineLevel="0" max="257" min="1" style="35" width="12.71"/>
  </cols>
  <sheetData>
    <row r="1" customFormat="false" ht="12" hidden="false" customHeight="true" outlineLevel="0" collapsed="false">
      <c r="A1" s="30" t="s">
        <v>316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7" customFormat="false" ht="12" hidden="false" customHeight="true" outlineLevel="0" collapsed="false">
      <c r="A7" s="36" t="s">
        <v>317</v>
      </c>
      <c r="N7" s="37" t="s">
        <v>318</v>
      </c>
    </row>
    <row r="8" customFormat="false" ht="12" hidden="false" customHeight="true" outlineLevel="0" collapsed="false">
      <c r="A8" s="36" t="s">
        <v>319</v>
      </c>
      <c r="C8" s="30" t="s">
        <v>320</v>
      </c>
      <c r="D8" s="30"/>
      <c r="E8" s="30"/>
      <c r="F8" s="30"/>
      <c r="G8" s="30"/>
      <c r="H8" s="30"/>
      <c r="I8" s="30"/>
      <c r="J8" s="30"/>
      <c r="K8" s="30"/>
      <c r="L8" s="30"/>
      <c r="N8" s="37" t="s">
        <v>321</v>
      </c>
    </row>
    <row r="9" customFormat="false" ht="12" hidden="false" customHeight="true" outlineLevel="0" collapsed="false">
      <c r="A9" s="34"/>
      <c r="B9" s="38" t="s">
        <v>322</v>
      </c>
      <c r="C9" s="38"/>
      <c r="D9" s="38"/>
      <c r="E9" s="38"/>
      <c r="F9" s="39" t="s">
        <v>323</v>
      </c>
      <c r="G9" s="39"/>
      <c r="H9" s="39"/>
      <c r="I9" s="39"/>
      <c r="J9" s="40" t="s">
        <v>324</v>
      </c>
      <c r="K9" s="41" t="s">
        <v>110</v>
      </c>
      <c r="L9" s="34"/>
      <c r="M9" s="34"/>
      <c r="N9" s="42"/>
    </row>
    <row r="10" customFormat="false" ht="12" hidden="false" customHeight="true" outlineLevel="0" collapsed="false">
      <c r="A10" s="1"/>
      <c r="B10" s="1"/>
      <c r="C10" s="1"/>
      <c r="D10" s="1"/>
      <c r="E10" s="43"/>
      <c r="F10" s="44"/>
      <c r="G10" s="1"/>
      <c r="H10" s="1"/>
      <c r="I10" s="1"/>
      <c r="J10" s="45" t="s">
        <v>325</v>
      </c>
      <c r="K10" s="19" t="s">
        <v>326</v>
      </c>
      <c r="L10" s="1"/>
      <c r="M10" s="19" t="s">
        <v>327</v>
      </c>
      <c r="N10" s="1"/>
    </row>
    <row r="11" customFormat="false" ht="12" hidden="false" customHeight="true" outlineLevel="0" collapsed="false">
      <c r="A11" s="1"/>
      <c r="B11" s="19" t="s">
        <v>108</v>
      </c>
      <c r="C11" s="19" t="s">
        <v>328</v>
      </c>
      <c r="D11" s="19" t="s">
        <v>329</v>
      </c>
      <c r="E11" s="1"/>
      <c r="F11" s="45" t="s">
        <v>108</v>
      </c>
      <c r="G11" s="19" t="s">
        <v>328</v>
      </c>
      <c r="H11" s="19" t="s">
        <v>329</v>
      </c>
      <c r="I11" s="1"/>
      <c r="J11" s="45" t="s">
        <v>330</v>
      </c>
      <c r="K11" s="19" t="s">
        <v>331</v>
      </c>
      <c r="L11" s="19" t="s">
        <v>227</v>
      </c>
      <c r="M11" s="19" t="s">
        <v>332</v>
      </c>
      <c r="N11" s="19" t="s">
        <v>238</v>
      </c>
    </row>
    <row r="12" customFormat="false" ht="12" hidden="false" customHeight="true" outlineLevel="0" collapsed="false">
      <c r="A12" s="19" t="s">
        <v>108</v>
      </c>
      <c r="B12" s="19" t="s">
        <v>333</v>
      </c>
      <c r="C12" s="4" t="s">
        <v>333</v>
      </c>
      <c r="D12" s="19" t="s">
        <v>334</v>
      </c>
      <c r="E12" s="19" t="s">
        <v>335</v>
      </c>
      <c r="F12" s="45" t="s">
        <v>333</v>
      </c>
      <c r="G12" s="4" t="s">
        <v>333</v>
      </c>
      <c r="H12" s="19" t="s">
        <v>334</v>
      </c>
      <c r="I12" s="19" t="s">
        <v>238</v>
      </c>
      <c r="J12" s="45" t="s">
        <v>336</v>
      </c>
      <c r="K12" s="19" t="s">
        <v>330</v>
      </c>
      <c r="L12" s="1"/>
      <c r="M12" s="1"/>
      <c r="N12" s="19" t="s">
        <v>337</v>
      </c>
    </row>
    <row r="13" customFormat="false" ht="12" hidden="false" customHeight="true" outlineLevel="0" collapsed="false">
      <c r="A13" s="1"/>
      <c r="B13" s="19" t="s">
        <v>338</v>
      </c>
      <c r="C13" s="19" t="s">
        <v>339</v>
      </c>
      <c r="D13" s="19" t="s">
        <v>340</v>
      </c>
      <c r="E13" s="1"/>
      <c r="F13" s="45" t="s">
        <v>338</v>
      </c>
      <c r="G13" s="19" t="s">
        <v>339</v>
      </c>
      <c r="H13" s="19" t="s">
        <v>340</v>
      </c>
      <c r="I13" s="1"/>
      <c r="J13" s="45" t="s">
        <v>341</v>
      </c>
      <c r="K13" s="19" t="s">
        <v>342</v>
      </c>
      <c r="L13" s="1"/>
      <c r="M13" s="1"/>
      <c r="N13" s="1"/>
    </row>
    <row r="14" customFormat="false" ht="12" hidden="false" customHeight="true" outlineLevel="0" collapsed="false">
      <c r="A14" s="9"/>
      <c r="B14" s="9" t="s">
        <v>217</v>
      </c>
      <c r="C14" s="9" t="s">
        <v>218</v>
      </c>
      <c r="D14" s="9" t="s">
        <v>219</v>
      </c>
      <c r="E14" s="9" t="s">
        <v>220</v>
      </c>
      <c r="F14" s="8" t="s">
        <v>221</v>
      </c>
      <c r="G14" s="9" t="s">
        <v>222</v>
      </c>
      <c r="H14" s="9" t="s">
        <v>223</v>
      </c>
      <c r="I14" s="9" t="s">
        <v>224</v>
      </c>
      <c r="J14" s="8" t="s">
        <v>225</v>
      </c>
      <c r="K14" s="9" t="s">
        <v>226</v>
      </c>
      <c r="L14" s="9" t="s">
        <v>227</v>
      </c>
      <c r="M14" s="9" t="s">
        <v>228</v>
      </c>
      <c r="N14" s="9" t="s">
        <v>229</v>
      </c>
    </row>
    <row r="15" customFormat="false" ht="12" hidden="false" customHeight="true" outlineLevel="0" collapsed="false">
      <c r="A15" s="46" t="s">
        <v>8</v>
      </c>
      <c r="B15" s="11" t="n">
        <v>372518</v>
      </c>
      <c r="C15" s="11" t="n">
        <v>42839</v>
      </c>
      <c r="D15" s="11" t="n">
        <v>974</v>
      </c>
      <c r="E15" s="11" t="n">
        <v>416331</v>
      </c>
      <c r="F15" s="10" t="n">
        <v>134450</v>
      </c>
      <c r="G15" s="11" t="n">
        <v>299897</v>
      </c>
      <c r="H15" s="11" t="n">
        <v>14</v>
      </c>
      <c r="I15" s="11" t="n">
        <v>434361</v>
      </c>
      <c r="J15" s="10" t="n">
        <v>72558</v>
      </c>
      <c r="K15" s="11" t="n">
        <v>57359</v>
      </c>
      <c r="L15" s="11" t="n">
        <v>11128</v>
      </c>
      <c r="M15" s="11" t="n">
        <v>20436</v>
      </c>
      <c r="N15" s="11" t="n">
        <v>1012173</v>
      </c>
    </row>
    <row r="16" customFormat="false" ht="12" hidden="false" customHeight="true" outlineLevel="0" collapsed="false">
      <c r="A16" s="46" t="s">
        <v>9</v>
      </c>
      <c r="B16" s="11" t="n">
        <v>213000</v>
      </c>
      <c r="C16" s="11" t="n">
        <v>60888</v>
      </c>
      <c r="D16" s="11" t="n">
        <v>4942</v>
      </c>
      <c r="E16" s="11" t="n">
        <v>278830</v>
      </c>
      <c r="F16" s="10" t="n">
        <v>121900</v>
      </c>
      <c r="G16" s="11" t="n">
        <v>34166</v>
      </c>
      <c r="H16" s="11" t="n">
        <v>831</v>
      </c>
      <c r="I16" s="11" t="n">
        <v>156897</v>
      </c>
      <c r="J16" s="10" t="n">
        <v>30088</v>
      </c>
      <c r="K16" s="11" t="n">
        <v>40116</v>
      </c>
      <c r="L16" s="11" t="n">
        <v>13411</v>
      </c>
      <c r="M16" s="11" t="n">
        <v>21623</v>
      </c>
      <c r="N16" s="11" t="n">
        <v>540965</v>
      </c>
    </row>
    <row r="17" customFormat="false" ht="12" hidden="false" customHeight="true" outlineLevel="0" collapsed="false">
      <c r="A17" s="46" t="s">
        <v>10</v>
      </c>
      <c r="B17" s="11" t="n">
        <v>488274</v>
      </c>
      <c r="C17" s="11" t="n">
        <v>205236</v>
      </c>
      <c r="D17" s="11" t="n">
        <v>19046</v>
      </c>
      <c r="E17" s="11" t="n">
        <v>712556</v>
      </c>
      <c r="F17" s="10" t="n">
        <v>68907</v>
      </c>
      <c r="G17" s="11" t="n">
        <v>84516</v>
      </c>
      <c r="H17" s="11" t="n">
        <v>10641</v>
      </c>
      <c r="I17" s="11" t="n">
        <v>164064</v>
      </c>
      <c r="J17" s="10" t="n">
        <v>70527</v>
      </c>
      <c r="K17" s="11" t="n">
        <v>78446</v>
      </c>
      <c r="L17" s="11" t="n">
        <v>154305</v>
      </c>
      <c r="M17" s="11" t="n">
        <v>359239</v>
      </c>
      <c r="N17" s="11" t="n">
        <v>1539137</v>
      </c>
    </row>
    <row r="18" customFormat="false" ht="12" hidden="false" customHeight="true" outlineLevel="0" collapsed="false">
      <c r="A18" s="46" t="s">
        <v>11</v>
      </c>
      <c r="B18" s="11" t="n">
        <v>325826</v>
      </c>
      <c r="C18" s="11" t="n">
        <v>72239</v>
      </c>
      <c r="D18" s="11" t="n">
        <v>868</v>
      </c>
      <c r="E18" s="11" t="n">
        <v>398933</v>
      </c>
      <c r="F18" s="10" t="n">
        <v>113232</v>
      </c>
      <c r="G18" s="11" t="n">
        <v>130379</v>
      </c>
      <c r="H18" s="11" t="n">
        <v>310</v>
      </c>
      <c r="I18" s="11" t="n">
        <v>243921</v>
      </c>
      <c r="J18" s="10" t="n">
        <v>42524</v>
      </c>
      <c r="K18" s="11" t="n">
        <v>45163</v>
      </c>
      <c r="L18" s="11" t="n">
        <v>661</v>
      </c>
      <c r="M18" s="11" t="n">
        <v>449</v>
      </c>
      <c r="N18" s="11" t="n">
        <v>731651</v>
      </c>
    </row>
    <row r="19" customFormat="false" ht="12" hidden="false" customHeight="true" outlineLevel="0" collapsed="false">
      <c r="A19" s="47" t="s">
        <v>12</v>
      </c>
      <c r="B19" s="13" t="n">
        <v>2089004</v>
      </c>
      <c r="C19" s="13" t="n">
        <v>1700434</v>
      </c>
      <c r="D19" s="13" t="n">
        <v>15983</v>
      </c>
      <c r="E19" s="13" t="n">
        <v>3805421</v>
      </c>
      <c r="F19" s="12" t="n">
        <v>511977</v>
      </c>
      <c r="G19" s="13" t="n">
        <v>1474922</v>
      </c>
      <c r="H19" s="13" t="n">
        <v>1685</v>
      </c>
      <c r="I19" s="13" t="n">
        <v>1988584</v>
      </c>
      <c r="J19" s="12" t="n">
        <v>1046908</v>
      </c>
      <c r="K19" s="13" t="n">
        <v>1182559</v>
      </c>
      <c r="L19" s="13" t="n">
        <v>58263</v>
      </c>
      <c r="M19" s="13" t="n">
        <v>35336</v>
      </c>
      <c r="N19" s="13" t="n">
        <v>8117071</v>
      </c>
    </row>
    <row r="20" customFormat="false" ht="12" hidden="false" customHeight="true" outlineLevel="0" collapsed="false">
      <c r="A20" s="46" t="s">
        <v>13</v>
      </c>
      <c r="B20" s="11" t="n">
        <v>386491</v>
      </c>
      <c r="C20" s="11" t="n">
        <v>179430</v>
      </c>
      <c r="D20" s="11" t="n">
        <v>3453</v>
      </c>
      <c r="E20" s="11" t="n">
        <v>569374</v>
      </c>
      <c r="F20" s="10" t="n">
        <v>128060</v>
      </c>
      <c r="G20" s="11" t="n">
        <v>236345</v>
      </c>
      <c r="H20" s="11" t="n">
        <v>921</v>
      </c>
      <c r="I20" s="11" t="n">
        <v>365326</v>
      </c>
      <c r="J20" s="10" t="n">
        <v>52531</v>
      </c>
      <c r="K20" s="11" t="n">
        <v>96886</v>
      </c>
      <c r="L20" s="11" t="n">
        <v>43258</v>
      </c>
      <c r="M20" s="11" t="n">
        <v>63757</v>
      </c>
      <c r="N20" s="11" t="n">
        <v>1191132</v>
      </c>
    </row>
    <row r="21" customFormat="false" ht="12" hidden="false" customHeight="true" outlineLevel="0" collapsed="false">
      <c r="A21" s="46" t="s">
        <v>14</v>
      </c>
      <c r="B21" s="11" t="n">
        <v>691154</v>
      </c>
      <c r="C21" s="11" t="n">
        <v>70521</v>
      </c>
      <c r="D21" s="11" t="n">
        <v>0</v>
      </c>
      <c r="E21" s="11" t="n">
        <v>761675</v>
      </c>
      <c r="F21" s="10" t="n">
        <v>60753</v>
      </c>
      <c r="G21" s="11" t="n">
        <v>156338</v>
      </c>
      <c r="H21" s="11" t="n">
        <v>0</v>
      </c>
      <c r="I21" s="11" t="n">
        <v>217091</v>
      </c>
      <c r="J21" s="10" t="n">
        <v>75613</v>
      </c>
      <c r="K21" s="11" t="n">
        <v>17130</v>
      </c>
      <c r="L21" s="11" t="n">
        <v>168579</v>
      </c>
      <c r="M21" s="11" t="n">
        <v>206380</v>
      </c>
      <c r="N21" s="11" t="n">
        <v>1446468</v>
      </c>
    </row>
    <row r="22" customFormat="false" ht="12" hidden="false" customHeight="true" outlineLevel="0" collapsed="false">
      <c r="A22" s="46" t="s">
        <v>15</v>
      </c>
      <c r="B22" s="11" t="n">
        <v>193959</v>
      </c>
      <c r="C22" s="11" t="n">
        <v>3375</v>
      </c>
      <c r="D22" s="11" t="n">
        <v>14559</v>
      </c>
      <c r="E22" s="11" t="n">
        <v>211893</v>
      </c>
      <c r="F22" s="10" t="n">
        <v>55562</v>
      </c>
      <c r="G22" s="11" t="n">
        <v>8148</v>
      </c>
      <c r="H22" s="11" t="n">
        <v>0</v>
      </c>
      <c r="I22" s="11" t="n">
        <v>63710</v>
      </c>
      <c r="J22" s="10" t="n">
        <v>50696</v>
      </c>
      <c r="K22" s="11" t="n">
        <v>36496</v>
      </c>
      <c r="L22" s="11" t="n">
        <v>46059</v>
      </c>
      <c r="M22" s="11" t="n">
        <v>26331</v>
      </c>
      <c r="N22" s="11" t="n">
        <v>435185</v>
      </c>
    </row>
    <row r="23" customFormat="false" ht="12" hidden="false" customHeight="true" outlineLevel="0" collapsed="false">
      <c r="A23" s="47" t="s">
        <v>16</v>
      </c>
      <c r="B23" s="13" t="n">
        <v>0</v>
      </c>
      <c r="C23" s="13" t="n">
        <v>101042</v>
      </c>
      <c r="D23" s="13" t="n">
        <v>5176</v>
      </c>
      <c r="E23" s="13" t="n">
        <v>106218</v>
      </c>
      <c r="F23" s="12" t="n">
        <v>0</v>
      </c>
      <c r="G23" s="13" t="n">
        <v>28524</v>
      </c>
      <c r="H23" s="13" t="n">
        <v>12</v>
      </c>
      <c r="I23" s="13" t="n">
        <v>28536</v>
      </c>
      <c r="J23" s="12" t="n">
        <v>19715</v>
      </c>
      <c r="K23" s="13" t="n">
        <v>0</v>
      </c>
      <c r="L23" s="13" t="n">
        <v>73135</v>
      </c>
      <c r="M23" s="13" t="n">
        <v>46061</v>
      </c>
      <c r="N23" s="13" t="n">
        <v>273665</v>
      </c>
    </row>
    <row r="24" customFormat="false" ht="12" hidden="false" customHeight="true" outlineLevel="0" collapsed="false">
      <c r="A24" s="46" t="s">
        <v>17</v>
      </c>
      <c r="B24" s="11" t="n">
        <v>1440203</v>
      </c>
      <c r="C24" s="11" t="n">
        <v>681642</v>
      </c>
      <c r="D24" s="11" t="n">
        <v>682</v>
      </c>
      <c r="E24" s="11" t="n">
        <v>2122527</v>
      </c>
      <c r="F24" s="10" t="n">
        <v>282812</v>
      </c>
      <c r="G24" s="11" t="n">
        <v>366381</v>
      </c>
      <c r="H24" s="11" t="n">
        <v>312</v>
      </c>
      <c r="I24" s="11" t="n">
        <v>649505</v>
      </c>
      <c r="J24" s="10" t="n">
        <v>428351</v>
      </c>
      <c r="K24" s="11" t="n">
        <v>271756</v>
      </c>
      <c r="L24" s="11" t="n">
        <v>232516</v>
      </c>
      <c r="M24" s="11" t="n">
        <v>153681</v>
      </c>
      <c r="N24" s="11" t="n">
        <v>3858336</v>
      </c>
    </row>
    <row r="25" customFormat="false" ht="12" hidden="false" customHeight="true" outlineLevel="0" collapsed="false">
      <c r="A25" s="46" t="s">
        <v>18</v>
      </c>
      <c r="B25" s="11" t="n">
        <v>699149</v>
      </c>
      <c r="C25" s="11" t="n">
        <v>174244</v>
      </c>
      <c r="D25" s="11" t="n">
        <v>724</v>
      </c>
      <c r="E25" s="11" t="n">
        <v>874117</v>
      </c>
      <c r="F25" s="10" t="n">
        <v>185909</v>
      </c>
      <c r="G25" s="11" t="n">
        <v>260614</v>
      </c>
      <c r="H25" s="11" t="n">
        <v>15</v>
      </c>
      <c r="I25" s="11" t="n">
        <v>446538</v>
      </c>
      <c r="J25" s="10" t="n">
        <v>113627</v>
      </c>
      <c r="K25" s="11" t="n">
        <v>127181</v>
      </c>
      <c r="L25" s="11" t="n">
        <v>46645</v>
      </c>
      <c r="M25" s="11" t="n">
        <v>300966</v>
      </c>
      <c r="N25" s="11" t="n">
        <v>1909074</v>
      </c>
    </row>
    <row r="26" customFormat="false" ht="12" hidden="false" customHeight="true" outlineLevel="0" collapsed="false">
      <c r="A26" s="46" t="s">
        <v>19</v>
      </c>
      <c r="B26" s="11" t="n">
        <v>316797</v>
      </c>
      <c r="C26" s="11" t="n">
        <v>23410</v>
      </c>
      <c r="D26" s="11" t="n">
        <v>263</v>
      </c>
      <c r="E26" s="11" t="n">
        <v>340470</v>
      </c>
      <c r="F26" s="10" t="n">
        <v>19793</v>
      </c>
      <c r="G26" s="11" t="n">
        <v>50294</v>
      </c>
      <c r="H26" s="11" t="n">
        <v>0</v>
      </c>
      <c r="I26" s="11" t="n">
        <v>70087</v>
      </c>
      <c r="J26" s="10" t="n">
        <v>38613</v>
      </c>
      <c r="K26" s="11" t="n">
        <v>16365</v>
      </c>
      <c r="L26" s="11" t="n">
        <v>18968</v>
      </c>
      <c r="M26" s="11" t="n">
        <v>22637</v>
      </c>
      <c r="N26" s="11" t="n">
        <v>507140</v>
      </c>
    </row>
    <row r="27" customFormat="false" ht="12" hidden="false" customHeight="true" outlineLevel="0" collapsed="false">
      <c r="A27" s="47" t="s">
        <v>21</v>
      </c>
      <c r="B27" s="13" t="n">
        <v>111528</v>
      </c>
      <c r="C27" s="13" t="n">
        <v>42830</v>
      </c>
      <c r="D27" s="13" t="n">
        <v>6609</v>
      </c>
      <c r="E27" s="13" t="n">
        <v>160967</v>
      </c>
      <c r="F27" s="12" t="n">
        <v>49296</v>
      </c>
      <c r="G27" s="13" t="n">
        <v>84059</v>
      </c>
      <c r="H27" s="13" t="n">
        <v>1212</v>
      </c>
      <c r="I27" s="13" t="n">
        <v>134567</v>
      </c>
      <c r="J27" s="12" t="n">
        <v>43930</v>
      </c>
      <c r="K27" s="13" t="n">
        <v>14397</v>
      </c>
      <c r="L27" s="13" t="n">
        <v>341</v>
      </c>
      <c r="M27" s="13" t="n">
        <v>545</v>
      </c>
      <c r="N27" s="13" t="n">
        <v>354747</v>
      </c>
    </row>
    <row r="28" customFormat="false" ht="12" hidden="false" customHeight="true" outlineLevel="0" collapsed="false">
      <c r="A28" s="46" t="s">
        <v>22</v>
      </c>
      <c r="B28" s="11" t="n">
        <v>1443338</v>
      </c>
      <c r="C28" s="11" t="n">
        <v>507931</v>
      </c>
      <c r="D28" s="11" t="n">
        <v>56</v>
      </c>
      <c r="E28" s="11" t="n">
        <v>1951325</v>
      </c>
      <c r="F28" s="10" t="n">
        <v>291073</v>
      </c>
      <c r="G28" s="11" t="n">
        <v>701587</v>
      </c>
      <c r="H28" s="11" t="n">
        <v>490</v>
      </c>
      <c r="I28" s="11" t="n">
        <v>993150</v>
      </c>
      <c r="J28" s="10" t="n">
        <v>260011</v>
      </c>
      <c r="K28" s="11" t="n">
        <v>126439</v>
      </c>
      <c r="L28" s="11" t="n">
        <v>129070</v>
      </c>
      <c r="M28" s="11" t="n">
        <v>115485</v>
      </c>
      <c r="N28" s="11" t="n">
        <v>3575480</v>
      </c>
    </row>
    <row r="29" customFormat="false" ht="12" hidden="false" customHeight="true" outlineLevel="0" collapsed="false">
      <c r="A29" s="46" t="s">
        <v>23</v>
      </c>
      <c r="B29" s="11" t="n">
        <v>567006</v>
      </c>
      <c r="C29" s="11" t="n">
        <v>218588</v>
      </c>
      <c r="D29" s="11" t="n">
        <v>0</v>
      </c>
      <c r="E29" s="11" t="n">
        <v>785594</v>
      </c>
      <c r="F29" s="10" t="n">
        <v>201342</v>
      </c>
      <c r="G29" s="11" t="n">
        <v>214625</v>
      </c>
      <c r="H29" s="11" t="n">
        <v>510</v>
      </c>
      <c r="I29" s="11" t="n">
        <v>416477</v>
      </c>
      <c r="J29" s="10" t="n">
        <v>195916</v>
      </c>
      <c r="K29" s="11" t="n">
        <v>41838</v>
      </c>
      <c r="L29" s="11" t="n">
        <v>52231</v>
      </c>
      <c r="M29" s="11" t="n">
        <v>12687</v>
      </c>
      <c r="N29" s="11" t="n">
        <v>1504743</v>
      </c>
    </row>
    <row r="30" customFormat="false" ht="12" hidden="false" customHeight="true" outlineLevel="0" collapsed="false">
      <c r="A30" s="46" t="s">
        <v>24</v>
      </c>
      <c r="B30" s="11" t="n">
        <v>400691</v>
      </c>
      <c r="C30" s="11" t="n">
        <v>225814</v>
      </c>
      <c r="D30" s="11" t="n">
        <v>9</v>
      </c>
      <c r="E30" s="11" t="n">
        <v>626514</v>
      </c>
      <c r="F30" s="10" t="n">
        <v>100801</v>
      </c>
      <c r="G30" s="11" t="n">
        <v>317012</v>
      </c>
      <c r="H30" s="11" t="n">
        <v>25</v>
      </c>
      <c r="I30" s="11" t="n">
        <v>417838</v>
      </c>
      <c r="J30" s="10" t="n">
        <v>95273</v>
      </c>
      <c r="K30" s="11" t="n">
        <v>66895</v>
      </c>
      <c r="L30" s="11" t="n">
        <v>23439</v>
      </c>
      <c r="M30" s="11" t="n">
        <v>53258</v>
      </c>
      <c r="N30" s="11" t="n">
        <v>1283217</v>
      </c>
    </row>
    <row r="31" customFormat="false" ht="12" hidden="false" customHeight="true" outlineLevel="0" collapsed="false">
      <c r="A31" s="47" t="s">
        <v>25</v>
      </c>
      <c r="B31" s="13" t="n">
        <v>352267</v>
      </c>
      <c r="C31" s="13" t="n">
        <v>112971</v>
      </c>
      <c r="D31" s="13" t="n">
        <v>2</v>
      </c>
      <c r="E31" s="13" t="n">
        <v>465240</v>
      </c>
      <c r="F31" s="12" t="n">
        <v>81227</v>
      </c>
      <c r="G31" s="13" t="n">
        <v>195447</v>
      </c>
      <c r="H31" s="13" t="n">
        <v>490</v>
      </c>
      <c r="I31" s="13" t="n">
        <v>277164</v>
      </c>
      <c r="J31" s="12" t="n">
        <v>183109</v>
      </c>
      <c r="K31" s="13" t="n">
        <v>275074</v>
      </c>
      <c r="L31" s="13" t="n">
        <v>44942</v>
      </c>
      <c r="M31" s="13" t="n">
        <v>142628</v>
      </c>
      <c r="N31" s="13" t="n">
        <v>1388157</v>
      </c>
    </row>
    <row r="32" customFormat="false" ht="12" hidden="false" customHeight="true" outlineLevel="0" collapsed="false">
      <c r="A32" s="46" t="s">
        <v>26</v>
      </c>
      <c r="B32" s="11" t="n">
        <v>683377</v>
      </c>
      <c r="C32" s="11" t="n">
        <v>157425</v>
      </c>
      <c r="D32" s="11" t="n">
        <v>2502</v>
      </c>
      <c r="E32" s="11" t="n">
        <v>843304</v>
      </c>
      <c r="F32" s="10" t="n">
        <v>152045</v>
      </c>
      <c r="G32" s="11" t="n">
        <v>111117</v>
      </c>
      <c r="H32" s="11" t="n">
        <v>41</v>
      </c>
      <c r="I32" s="11" t="n">
        <v>263203</v>
      </c>
      <c r="J32" s="10" t="n">
        <v>88047</v>
      </c>
      <c r="K32" s="11" t="n">
        <v>109820</v>
      </c>
      <c r="L32" s="11" t="n">
        <v>103564</v>
      </c>
      <c r="M32" s="11" t="n">
        <v>143452</v>
      </c>
      <c r="N32" s="11" t="n">
        <v>1551390</v>
      </c>
    </row>
    <row r="33" customFormat="false" ht="12" hidden="false" customHeight="true" outlineLevel="0" collapsed="false">
      <c r="A33" s="46" t="s">
        <v>27</v>
      </c>
      <c r="B33" s="11" t="n">
        <v>650766</v>
      </c>
      <c r="C33" s="11" t="n">
        <v>154691</v>
      </c>
      <c r="D33" s="11" t="n">
        <v>104</v>
      </c>
      <c r="E33" s="11" t="n">
        <v>805561</v>
      </c>
      <c r="F33" s="10" t="n">
        <v>59191</v>
      </c>
      <c r="G33" s="11" t="n">
        <v>194618</v>
      </c>
      <c r="H33" s="11" t="n">
        <v>210</v>
      </c>
      <c r="I33" s="11" t="n">
        <v>254019</v>
      </c>
      <c r="J33" s="10" t="n">
        <v>85661</v>
      </c>
      <c r="K33" s="11" t="n">
        <v>116970</v>
      </c>
      <c r="L33" s="11" t="n">
        <v>107470</v>
      </c>
      <c r="M33" s="11" t="n">
        <v>107504</v>
      </c>
      <c r="N33" s="11" t="n">
        <v>1477185</v>
      </c>
    </row>
    <row r="34" customFormat="false" ht="12" hidden="false" customHeight="true" outlineLevel="0" collapsed="false">
      <c r="A34" s="46" t="s">
        <v>28</v>
      </c>
      <c r="B34" s="11" t="n">
        <v>143850</v>
      </c>
      <c r="C34" s="11" t="n">
        <v>15420</v>
      </c>
      <c r="D34" s="11" t="n">
        <v>446</v>
      </c>
      <c r="E34" s="11" t="n">
        <v>159716</v>
      </c>
      <c r="F34" s="10" t="n">
        <v>114900</v>
      </c>
      <c r="G34" s="11" t="n">
        <v>98260</v>
      </c>
      <c r="H34" s="11" t="n">
        <v>153</v>
      </c>
      <c r="I34" s="11" t="n">
        <v>213313</v>
      </c>
      <c r="J34" s="10" t="n">
        <v>17086</v>
      </c>
      <c r="K34" s="11" t="n">
        <v>42300</v>
      </c>
      <c r="L34" s="11" t="n">
        <v>12015</v>
      </c>
      <c r="M34" s="11" t="n">
        <v>15933</v>
      </c>
      <c r="N34" s="11" t="n">
        <v>460363</v>
      </c>
    </row>
    <row r="35" customFormat="false" ht="12" hidden="false" customHeight="true" outlineLevel="0" collapsed="false">
      <c r="A35" s="47" t="s">
        <v>29</v>
      </c>
      <c r="B35" s="13" t="n">
        <v>511583</v>
      </c>
      <c r="C35" s="13" t="n">
        <v>232055</v>
      </c>
      <c r="D35" s="13" t="n">
        <v>14907</v>
      </c>
      <c r="E35" s="13" t="n">
        <v>758545</v>
      </c>
      <c r="F35" s="12" t="n">
        <v>149131</v>
      </c>
      <c r="G35" s="13" t="n">
        <v>200106</v>
      </c>
      <c r="H35" s="13" t="n">
        <v>0</v>
      </c>
      <c r="I35" s="13" t="n">
        <v>349237</v>
      </c>
      <c r="J35" s="12" t="n">
        <v>108364</v>
      </c>
      <c r="K35" s="13" t="n">
        <v>161614</v>
      </c>
      <c r="L35" s="13" t="n">
        <v>81688</v>
      </c>
      <c r="M35" s="13" t="n">
        <v>330508</v>
      </c>
      <c r="N35" s="13" t="n">
        <v>1789956</v>
      </c>
    </row>
    <row r="36" customFormat="false" ht="12" hidden="false" customHeight="true" outlineLevel="0" collapsed="false">
      <c r="A36" s="46" t="s">
        <v>30</v>
      </c>
      <c r="B36" s="11" t="n">
        <v>871763</v>
      </c>
      <c r="C36" s="11" t="n">
        <v>141997</v>
      </c>
      <c r="D36" s="11" t="n">
        <v>40</v>
      </c>
      <c r="E36" s="11" t="n">
        <v>1013800</v>
      </c>
      <c r="F36" s="10" t="n">
        <v>146150</v>
      </c>
      <c r="G36" s="11" t="n">
        <v>244043</v>
      </c>
      <c r="H36" s="11" t="n">
        <v>0</v>
      </c>
      <c r="I36" s="11" t="n">
        <v>390193</v>
      </c>
      <c r="J36" s="10" t="n">
        <v>214814</v>
      </c>
      <c r="K36" s="11" t="n">
        <v>177051</v>
      </c>
      <c r="L36" s="11" t="n">
        <v>174108</v>
      </c>
      <c r="M36" s="11" t="n">
        <v>245634</v>
      </c>
      <c r="N36" s="11" t="n">
        <v>2215600</v>
      </c>
    </row>
    <row r="37" customFormat="false" ht="12" hidden="false" customHeight="true" outlineLevel="0" collapsed="false">
      <c r="A37" s="46" t="s">
        <v>31</v>
      </c>
      <c r="B37" s="11" t="n">
        <v>546839</v>
      </c>
      <c r="C37" s="11" t="n">
        <v>276700</v>
      </c>
      <c r="D37" s="11" t="n">
        <v>31</v>
      </c>
      <c r="E37" s="11" t="n">
        <v>823570</v>
      </c>
      <c r="F37" s="10" t="n">
        <v>138763</v>
      </c>
      <c r="G37" s="11" t="n">
        <v>642977</v>
      </c>
      <c r="H37" s="11" t="n">
        <v>300</v>
      </c>
      <c r="I37" s="11" t="n">
        <v>782040</v>
      </c>
      <c r="J37" s="10" t="n">
        <v>205891</v>
      </c>
      <c r="K37" s="11" t="n">
        <v>201637</v>
      </c>
      <c r="L37" s="11" t="n">
        <v>35674</v>
      </c>
      <c r="M37" s="11" t="n">
        <v>44873</v>
      </c>
      <c r="N37" s="11" t="n">
        <v>2093685</v>
      </c>
    </row>
    <row r="38" customFormat="false" ht="12" hidden="false" customHeight="true" outlineLevel="0" collapsed="false">
      <c r="A38" s="46" t="s">
        <v>32</v>
      </c>
      <c r="B38" s="11" t="n">
        <v>587390</v>
      </c>
      <c r="C38" s="11" t="n">
        <v>689936</v>
      </c>
      <c r="D38" s="11" t="n">
        <v>163</v>
      </c>
      <c r="E38" s="11" t="n">
        <v>1277489</v>
      </c>
      <c r="F38" s="10" t="n">
        <v>144894</v>
      </c>
      <c r="G38" s="11" t="n">
        <v>395181</v>
      </c>
      <c r="H38" s="11" t="n">
        <v>1508</v>
      </c>
      <c r="I38" s="11" t="n">
        <v>541583</v>
      </c>
      <c r="J38" s="10" t="n">
        <v>146484</v>
      </c>
      <c r="K38" s="11" t="n">
        <v>180927</v>
      </c>
      <c r="L38" s="11" t="n">
        <v>56605</v>
      </c>
      <c r="M38" s="11" t="n">
        <v>127591</v>
      </c>
      <c r="N38" s="11" t="n">
        <v>2330679</v>
      </c>
    </row>
    <row r="39" customFormat="false" ht="12" hidden="false" customHeight="true" outlineLevel="0" collapsed="false">
      <c r="A39" s="47" t="s">
        <v>33</v>
      </c>
      <c r="B39" s="13" t="n">
        <v>332638</v>
      </c>
      <c r="C39" s="13" t="n">
        <v>119737</v>
      </c>
      <c r="D39" s="13" t="n">
        <v>3341</v>
      </c>
      <c r="E39" s="13" t="n">
        <v>455716</v>
      </c>
      <c r="F39" s="12" t="n">
        <v>54704</v>
      </c>
      <c r="G39" s="13" t="n">
        <v>188186</v>
      </c>
      <c r="H39" s="13" t="n">
        <v>591</v>
      </c>
      <c r="I39" s="13" t="n">
        <v>243481</v>
      </c>
      <c r="J39" s="12" t="n">
        <v>33114</v>
      </c>
      <c r="K39" s="13" t="n">
        <v>64869</v>
      </c>
      <c r="L39" s="13" t="n">
        <v>31566</v>
      </c>
      <c r="M39" s="13" t="n">
        <v>57622</v>
      </c>
      <c r="N39" s="13" t="n">
        <v>886368</v>
      </c>
    </row>
    <row r="40" customFormat="false" ht="12" hidden="false" customHeight="true" outlineLevel="0" collapsed="false">
      <c r="A40" s="46" t="s">
        <v>34</v>
      </c>
      <c r="B40" s="11" t="n">
        <v>464531</v>
      </c>
      <c r="C40" s="11" t="n">
        <v>199354</v>
      </c>
      <c r="D40" s="11" t="n">
        <v>1342</v>
      </c>
      <c r="E40" s="11" t="n">
        <v>665227</v>
      </c>
      <c r="F40" s="10" t="n">
        <v>210439</v>
      </c>
      <c r="G40" s="11" t="n">
        <v>222712</v>
      </c>
      <c r="H40" s="11" t="n">
        <v>8</v>
      </c>
      <c r="I40" s="11" t="n">
        <v>433159</v>
      </c>
      <c r="J40" s="10" t="n">
        <v>177283</v>
      </c>
      <c r="K40" s="11" t="n">
        <v>124228</v>
      </c>
      <c r="L40" s="11" t="n">
        <v>11715</v>
      </c>
      <c r="M40" s="11" t="n">
        <v>19421</v>
      </c>
      <c r="N40" s="11" t="n">
        <v>1431033</v>
      </c>
    </row>
    <row r="41" customFormat="false" ht="12" hidden="false" customHeight="true" outlineLevel="0" collapsed="false">
      <c r="A41" s="46" t="s">
        <v>35</v>
      </c>
      <c r="B41" s="11" t="n">
        <v>191070</v>
      </c>
      <c r="C41" s="11" t="n">
        <v>57652</v>
      </c>
      <c r="D41" s="11" t="n">
        <v>9217</v>
      </c>
      <c r="E41" s="11" t="n">
        <v>257939</v>
      </c>
      <c r="F41" s="10" t="n">
        <v>42087</v>
      </c>
      <c r="G41" s="11" t="n">
        <v>21356</v>
      </c>
      <c r="H41" s="11" t="n">
        <v>4178</v>
      </c>
      <c r="I41" s="11" t="n">
        <v>67621</v>
      </c>
      <c r="J41" s="10" t="n">
        <v>16843</v>
      </c>
      <c r="K41" s="11" t="n">
        <v>19424</v>
      </c>
      <c r="L41" s="11" t="n">
        <v>13958</v>
      </c>
      <c r="M41" s="11" t="n">
        <v>1723</v>
      </c>
      <c r="N41" s="11" t="n">
        <v>377508</v>
      </c>
    </row>
    <row r="42" customFormat="false" ht="12" hidden="false" customHeight="true" outlineLevel="0" collapsed="false">
      <c r="A42" s="46" t="s">
        <v>36</v>
      </c>
      <c r="B42" s="11" t="n">
        <v>244117</v>
      </c>
      <c r="C42" s="11" t="n">
        <v>192494</v>
      </c>
      <c r="D42" s="11" t="n">
        <v>34598</v>
      </c>
      <c r="E42" s="11" t="n">
        <v>471209</v>
      </c>
      <c r="F42" s="10" t="n">
        <v>51993</v>
      </c>
      <c r="G42" s="11" t="n">
        <v>126578</v>
      </c>
      <c r="H42" s="11" t="n">
        <v>444</v>
      </c>
      <c r="I42" s="11" t="n">
        <v>179015</v>
      </c>
      <c r="J42" s="10" t="n">
        <v>43639</v>
      </c>
      <c r="K42" s="11" t="n">
        <v>42934</v>
      </c>
      <c r="L42" s="11" t="n">
        <v>15349</v>
      </c>
      <c r="M42" s="11" t="n">
        <v>27120</v>
      </c>
      <c r="N42" s="11" t="n">
        <v>779266</v>
      </c>
    </row>
    <row r="43" customFormat="false" ht="12" hidden="false" customHeight="true" outlineLevel="0" collapsed="false">
      <c r="A43" s="47" t="s">
        <v>37</v>
      </c>
      <c r="B43" s="13" t="n">
        <v>168487</v>
      </c>
      <c r="C43" s="13" t="n">
        <v>10557</v>
      </c>
      <c r="D43" s="13" t="n">
        <v>2640</v>
      </c>
      <c r="E43" s="13" t="n">
        <v>181684</v>
      </c>
      <c r="F43" s="12" t="n">
        <v>58785</v>
      </c>
      <c r="G43" s="13" t="n">
        <v>14637</v>
      </c>
      <c r="H43" s="13" t="n">
        <v>1048</v>
      </c>
      <c r="I43" s="13" t="n">
        <v>74470</v>
      </c>
      <c r="J43" s="12" t="n">
        <v>23360</v>
      </c>
      <c r="K43" s="13" t="n">
        <v>24049</v>
      </c>
      <c r="L43" s="13" t="n">
        <v>12962</v>
      </c>
      <c r="M43" s="13" t="n">
        <v>16786</v>
      </c>
      <c r="N43" s="13" t="n">
        <v>333311</v>
      </c>
    </row>
    <row r="44" customFormat="false" ht="12" hidden="false" customHeight="true" outlineLevel="0" collapsed="false">
      <c r="A44" s="46" t="s">
        <v>38</v>
      </c>
      <c r="B44" s="11" t="n">
        <v>86815</v>
      </c>
      <c r="C44" s="11" t="n">
        <v>37694</v>
      </c>
      <c r="D44" s="11" t="n">
        <v>0</v>
      </c>
      <c r="E44" s="11" t="n">
        <v>124509</v>
      </c>
      <c r="F44" s="10" t="n">
        <v>98469</v>
      </c>
      <c r="G44" s="11" t="n">
        <v>66752</v>
      </c>
      <c r="H44" s="11" t="n">
        <v>106</v>
      </c>
      <c r="I44" s="11" t="n">
        <v>165327</v>
      </c>
      <c r="J44" s="10" t="n">
        <v>96270</v>
      </c>
      <c r="K44" s="11" t="n">
        <v>46005</v>
      </c>
      <c r="L44" s="11" t="n">
        <v>21722</v>
      </c>
      <c r="M44" s="11" t="n">
        <v>4533</v>
      </c>
      <c r="N44" s="11" t="n">
        <v>458366</v>
      </c>
    </row>
    <row r="45" customFormat="false" ht="12" hidden="false" customHeight="true" outlineLevel="0" collapsed="false">
      <c r="A45" s="46" t="s">
        <v>39</v>
      </c>
      <c r="B45" s="11" t="n">
        <v>1250419</v>
      </c>
      <c r="C45" s="11" t="n">
        <v>100871</v>
      </c>
      <c r="D45" s="11" t="n">
        <v>0</v>
      </c>
      <c r="E45" s="11" t="n">
        <v>1351290</v>
      </c>
      <c r="F45" s="10" t="n">
        <v>358862</v>
      </c>
      <c r="G45" s="11" t="n">
        <v>342765</v>
      </c>
      <c r="H45" s="11" t="n">
        <v>0</v>
      </c>
      <c r="I45" s="11" t="n">
        <v>701627</v>
      </c>
      <c r="J45" s="10" t="n">
        <v>381121</v>
      </c>
      <c r="K45" s="11" t="n">
        <v>254093</v>
      </c>
      <c r="L45" s="11" t="n">
        <v>238792</v>
      </c>
      <c r="M45" s="11" t="n">
        <v>220850</v>
      </c>
      <c r="N45" s="11" t="n">
        <v>3147773</v>
      </c>
    </row>
    <row r="46" customFormat="false" ht="12" hidden="false" customHeight="true" outlineLevel="0" collapsed="false">
      <c r="A46" s="46" t="s">
        <v>40</v>
      </c>
      <c r="B46" s="11" t="n">
        <v>245616</v>
      </c>
      <c r="C46" s="11" t="n">
        <v>38902</v>
      </c>
      <c r="D46" s="11" t="n">
        <v>6033</v>
      </c>
      <c r="E46" s="11" t="n">
        <v>290551</v>
      </c>
      <c r="F46" s="10" t="n">
        <v>63812</v>
      </c>
      <c r="G46" s="11" t="n">
        <v>38326</v>
      </c>
      <c r="H46" s="11" t="n">
        <v>5674</v>
      </c>
      <c r="I46" s="11" t="n">
        <v>107812</v>
      </c>
      <c r="J46" s="10" t="n">
        <v>65312</v>
      </c>
      <c r="K46" s="11" t="n">
        <v>26275</v>
      </c>
      <c r="L46" s="11" t="n">
        <v>2532</v>
      </c>
      <c r="M46" s="11" t="n">
        <v>2014</v>
      </c>
      <c r="N46" s="11" t="n">
        <v>494496</v>
      </c>
    </row>
    <row r="47" customFormat="false" ht="12" hidden="false" customHeight="true" outlineLevel="0" collapsed="false">
      <c r="A47" s="47" t="s">
        <v>41</v>
      </c>
      <c r="B47" s="13" t="n">
        <v>1172069</v>
      </c>
      <c r="C47" s="13" t="n">
        <v>1220310</v>
      </c>
      <c r="D47" s="13" t="n">
        <v>176</v>
      </c>
      <c r="E47" s="13" t="n">
        <v>2392555</v>
      </c>
      <c r="F47" s="12" t="n">
        <v>606776</v>
      </c>
      <c r="G47" s="13" t="n">
        <v>1839465</v>
      </c>
      <c r="H47" s="13" t="n">
        <v>200</v>
      </c>
      <c r="I47" s="13" t="n">
        <v>2446441</v>
      </c>
      <c r="J47" s="12" t="n">
        <v>616785</v>
      </c>
      <c r="K47" s="13" t="n">
        <v>283252</v>
      </c>
      <c r="L47" s="13" t="n">
        <v>586457</v>
      </c>
      <c r="M47" s="13" t="n">
        <v>409463</v>
      </c>
      <c r="N47" s="13" t="n">
        <v>6734953</v>
      </c>
    </row>
    <row r="48" customFormat="false" ht="12" hidden="false" customHeight="true" outlineLevel="0" collapsed="false">
      <c r="A48" s="46" t="s">
        <v>42</v>
      </c>
      <c r="B48" s="11" t="n">
        <v>772594</v>
      </c>
      <c r="C48" s="11" t="n">
        <v>127328</v>
      </c>
      <c r="D48" s="11" t="n">
        <v>10329</v>
      </c>
      <c r="E48" s="11" t="n">
        <v>910251</v>
      </c>
      <c r="F48" s="10" t="n">
        <v>362139</v>
      </c>
      <c r="G48" s="11" t="n">
        <v>86571</v>
      </c>
      <c r="H48" s="11" t="n">
        <v>1044</v>
      </c>
      <c r="I48" s="11" t="n">
        <v>449754</v>
      </c>
      <c r="J48" s="10" t="n">
        <v>127094</v>
      </c>
      <c r="K48" s="11" t="n">
        <v>203642</v>
      </c>
      <c r="L48" s="11" t="n">
        <v>28870</v>
      </c>
      <c r="M48" s="11" t="n">
        <v>17703</v>
      </c>
      <c r="N48" s="11" t="n">
        <v>1737314</v>
      </c>
    </row>
    <row r="49" customFormat="false" ht="12" hidden="false" customHeight="true" outlineLevel="0" collapsed="false">
      <c r="A49" s="46" t="s">
        <v>43</v>
      </c>
      <c r="B49" s="11" t="n">
        <v>93070</v>
      </c>
      <c r="C49" s="11" t="n">
        <v>45587</v>
      </c>
      <c r="D49" s="11" t="n">
        <v>15</v>
      </c>
      <c r="E49" s="11" t="n">
        <v>138672</v>
      </c>
      <c r="F49" s="10" t="n">
        <v>34178</v>
      </c>
      <c r="G49" s="11" t="n">
        <v>50244</v>
      </c>
      <c r="H49" s="11" t="n">
        <v>2185</v>
      </c>
      <c r="I49" s="11" t="n">
        <v>86607</v>
      </c>
      <c r="J49" s="10" t="n">
        <v>20627</v>
      </c>
      <c r="K49" s="11" t="n">
        <v>15228</v>
      </c>
      <c r="L49" s="11" t="n">
        <v>6931</v>
      </c>
      <c r="M49" s="11" t="n">
        <v>13499</v>
      </c>
      <c r="N49" s="11" t="n">
        <v>281564</v>
      </c>
    </row>
    <row r="50" customFormat="false" ht="12" hidden="false" customHeight="true" outlineLevel="0" collapsed="false">
      <c r="A50" s="46" t="s">
        <v>44</v>
      </c>
      <c r="B50" s="11" t="n">
        <v>679950</v>
      </c>
      <c r="C50" s="11" t="n">
        <v>401989</v>
      </c>
      <c r="D50" s="11" t="n">
        <v>211</v>
      </c>
      <c r="E50" s="11" t="n">
        <v>1082150</v>
      </c>
      <c r="F50" s="10" t="n">
        <v>460687</v>
      </c>
      <c r="G50" s="11" t="n">
        <v>504058</v>
      </c>
      <c r="H50" s="11" t="n">
        <v>23</v>
      </c>
      <c r="I50" s="11" t="n">
        <v>964768</v>
      </c>
      <c r="J50" s="10" t="n">
        <v>335689</v>
      </c>
      <c r="K50" s="11" t="n">
        <v>213155</v>
      </c>
      <c r="L50" s="11" t="n">
        <v>51708</v>
      </c>
      <c r="M50" s="11" t="n">
        <v>109564</v>
      </c>
      <c r="N50" s="11" t="n">
        <v>2757034</v>
      </c>
    </row>
    <row r="51" customFormat="false" ht="12" hidden="false" customHeight="true" outlineLevel="0" collapsed="false">
      <c r="A51" s="47" t="s">
        <v>45</v>
      </c>
      <c r="B51" s="13" t="n">
        <v>320609</v>
      </c>
      <c r="C51" s="13" t="n">
        <v>113422</v>
      </c>
      <c r="D51" s="13" t="n">
        <v>4000</v>
      </c>
      <c r="E51" s="13" t="n">
        <v>438031</v>
      </c>
      <c r="F51" s="12" t="n">
        <v>88492</v>
      </c>
      <c r="G51" s="13" t="n">
        <v>117914</v>
      </c>
      <c r="H51" s="13" t="n">
        <v>17</v>
      </c>
      <c r="I51" s="13" t="n">
        <v>206423</v>
      </c>
      <c r="J51" s="12" t="n">
        <v>191811</v>
      </c>
      <c r="K51" s="13" t="n">
        <v>41384</v>
      </c>
      <c r="L51" s="13" t="n">
        <v>56248</v>
      </c>
      <c r="M51" s="13" t="n">
        <v>85638</v>
      </c>
      <c r="N51" s="13" t="n">
        <v>1019535</v>
      </c>
    </row>
    <row r="52" customFormat="false" ht="12" hidden="false" customHeight="true" outlineLevel="0" collapsed="false">
      <c r="A52" s="46" t="s">
        <v>46</v>
      </c>
      <c r="B52" s="11" t="n">
        <v>335881</v>
      </c>
      <c r="C52" s="11" t="n">
        <v>201205</v>
      </c>
      <c r="D52" s="11" t="n">
        <v>10798</v>
      </c>
      <c r="E52" s="11" t="n">
        <v>547884</v>
      </c>
      <c r="F52" s="10" t="n">
        <v>120773</v>
      </c>
      <c r="G52" s="11" t="n">
        <v>168155</v>
      </c>
      <c r="H52" s="11" t="n">
        <v>7523</v>
      </c>
      <c r="I52" s="11" t="n">
        <v>296451</v>
      </c>
      <c r="J52" s="10" t="n">
        <v>64501</v>
      </c>
      <c r="K52" s="11" t="n">
        <v>73433</v>
      </c>
      <c r="L52" s="11" t="n">
        <v>14067</v>
      </c>
      <c r="M52" s="11" t="n">
        <v>24162</v>
      </c>
      <c r="N52" s="11" t="n">
        <v>1020498</v>
      </c>
    </row>
    <row r="53" customFormat="false" ht="12" hidden="false" customHeight="true" outlineLevel="0" collapsed="false">
      <c r="A53" s="46" t="s">
        <v>47</v>
      </c>
      <c r="B53" s="11" t="n">
        <v>1223271</v>
      </c>
      <c r="C53" s="11" t="n">
        <v>125258</v>
      </c>
      <c r="D53" s="11" t="n">
        <v>268</v>
      </c>
      <c r="E53" s="11" t="n">
        <v>1348797</v>
      </c>
      <c r="F53" s="10" t="n">
        <v>764351</v>
      </c>
      <c r="G53" s="11" t="n">
        <v>744656</v>
      </c>
      <c r="H53" s="11" t="n">
        <v>85</v>
      </c>
      <c r="I53" s="11" t="n">
        <v>1509092</v>
      </c>
      <c r="J53" s="10" t="n">
        <v>152494</v>
      </c>
      <c r="K53" s="11" t="n">
        <v>443935</v>
      </c>
      <c r="L53" s="11" t="n">
        <v>190151</v>
      </c>
      <c r="M53" s="11" t="n">
        <v>225189</v>
      </c>
      <c r="N53" s="11" t="n">
        <v>3869658</v>
      </c>
    </row>
    <row r="54" customFormat="false" ht="12" hidden="false" customHeight="true" outlineLevel="0" collapsed="false">
      <c r="A54" s="46" t="s">
        <v>48</v>
      </c>
      <c r="B54" s="11" t="n">
        <v>136323</v>
      </c>
      <c r="C54" s="11" t="n">
        <v>4040</v>
      </c>
      <c r="D54" s="11" t="n">
        <v>0</v>
      </c>
      <c r="E54" s="11" t="n">
        <v>140363</v>
      </c>
      <c r="F54" s="10" t="n">
        <v>23710</v>
      </c>
      <c r="G54" s="11" t="n">
        <v>17136</v>
      </c>
      <c r="H54" s="11" t="n">
        <v>6</v>
      </c>
      <c r="I54" s="11" t="n">
        <v>40852</v>
      </c>
      <c r="J54" s="10" t="n">
        <v>9798</v>
      </c>
      <c r="K54" s="11" t="n">
        <v>28023</v>
      </c>
      <c r="L54" s="11" t="n">
        <v>14684</v>
      </c>
      <c r="M54" s="11" t="n">
        <v>19770</v>
      </c>
      <c r="N54" s="11" t="n">
        <v>253490</v>
      </c>
    </row>
    <row r="55" customFormat="false" ht="12" hidden="false" customHeight="true" outlineLevel="0" collapsed="false">
      <c r="A55" s="47" t="s">
        <v>49</v>
      </c>
      <c r="B55" s="13" t="n">
        <v>332967</v>
      </c>
      <c r="C55" s="13" t="n">
        <v>31128</v>
      </c>
      <c r="D55" s="13" t="n">
        <v>28</v>
      </c>
      <c r="E55" s="13" t="n">
        <v>364123</v>
      </c>
      <c r="F55" s="12" t="n">
        <v>156266</v>
      </c>
      <c r="G55" s="13" t="n">
        <v>43893</v>
      </c>
      <c r="H55" s="13" t="n">
        <v>40</v>
      </c>
      <c r="I55" s="13" t="n">
        <v>200199</v>
      </c>
      <c r="J55" s="12" t="n">
        <v>52696</v>
      </c>
      <c r="K55" s="13" t="n">
        <v>86404</v>
      </c>
      <c r="L55" s="13" t="n">
        <v>917</v>
      </c>
      <c r="M55" s="13" t="n">
        <v>824</v>
      </c>
      <c r="N55" s="13" t="n">
        <v>705163</v>
      </c>
    </row>
    <row r="56" customFormat="false" ht="12" hidden="false" customHeight="true" outlineLevel="0" collapsed="false">
      <c r="A56" s="46" t="s">
        <v>50</v>
      </c>
      <c r="B56" s="11" t="n">
        <v>159816</v>
      </c>
      <c r="C56" s="11" t="n">
        <v>68946</v>
      </c>
      <c r="D56" s="11" t="n">
        <v>1516</v>
      </c>
      <c r="E56" s="11" t="n">
        <v>230278</v>
      </c>
      <c r="F56" s="10" t="n">
        <v>33371</v>
      </c>
      <c r="G56" s="11" t="n">
        <v>68300</v>
      </c>
      <c r="H56" s="11" t="n">
        <v>3757</v>
      </c>
      <c r="I56" s="11" t="n">
        <v>105428</v>
      </c>
      <c r="J56" s="10" t="n">
        <v>21403</v>
      </c>
      <c r="K56" s="11" t="n">
        <v>30636</v>
      </c>
      <c r="L56" s="11" t="n">
        <v>843</v>
      </c>
      <c r="M56" s="11" t="n">
        <v>1813</v>
      </c>
      <c r="N56" s="11" t="n">
        <v>390401</v>
      </c>
    </row>
    <row r="57" customFormat="false" ht="12" hidden="false" customHeight="true" outlineLevel="0" collapsed="false">
      <c r="A57" s="46" t="s">
        <v>51</v>
      </c>
      <c r="B57" s="11" t="n">
        <v>613158</v>
      </c>
      <c r="C57" s="11" t="n">
        <v>106790</v>
      </c>
      <c r="D57" s="11" t="n">
        <v>5777</v>
      </c>
      <c r="E57" s="11" t="n">
        <v>725725</v>
      </c>
      <c r="F57" s="10" t="n">
        <v>192392</v>
      </c>
      <c r="G57" s="11" t="n">
        <v>225319</v>
      </c>
      <c r="H57" s="11" t="n">
        <v>70</v>
      </c>
      <c r="I57" s="11" t="n">
        <v>417781</v>
      </c>
      <c r="J57" s="10" t="n">
        <v>84136</v>
      </c>
      <c r="K57" s="11" t="n">
        <v>59239</v>
      </c>
      <c r="L57" s="11" t="n">
        <v>6057</v>
      </c>
      <c r="M57" s="11" t="n">
        <v>16894</v>
      </c>
      <c r="N57" s="11" t="n">
        <v>1309832</v>
      </c>
    </row>
    <row r="58" customFormat="false" ht="12" hidden="false" customHeight="true" outlineLevel="0" collapsed="false">
      <c r="A58" s="46" t="s">
        <v>52</v>
      </c>
      <c r="B58" s="11" t="n">
        <v>1701015</v>
      </c>
      <c r="C58" s="11" t="n">
        <v>578592</v>
      </c>
      <c r="D58" s="11" t="n">
        <v>3282</v>
      </c>
      <c r="E58" s="11" t="n">
        <v>2282889</v>
      </c>
      <c r="F58" s="10" t="n">
        <v>564131</v>
      </c>
      <c r="G58" s="11" t="n">
        <v>898897</v>
      </c>
      <c r="H58" s="11" t="n">
        <v>67</v>
      </c>
      <c r="I58" s="11" t="n">
        <v>1463095</v>
      </c>
      <c r="J58" s="10" t="n">
        <v>473048</v>
      </c>
      <c r="K58" s="11" t="n">
        <v>804375</v>
      </c>
      <c r="L58" s="11" t="n">
        <v>351868</v>
      </c>
      <c r="M58" s="11" t="n">
        <v>246617</v>
      </c>
      <c r="N58" s="11" t="n">
        <v>5621892</v>
      </c>
    </row>
    <row r="59" customFormat="false" ht="12" hidden="false" customHeight="true" outlineLevel="0" collapsed="false">
      <c r="A59" s="47" t="s">
        <v>53</v>
      </c>
      <c r="B59" s="13" t="n">
        <v>182428</v>
      </c>
      <c r="C59" s="13" t="n">
        <v>68600</v>
      </c>
      <c r="D59" s="13" t="n">
        <v>5782</v>
      </c>
      <c r="E59" s="13" t="n">
        <v>256810</v>
      </c>
      <c r="F59" s="12" t="n">
        <v>59893</v>
      </c>
      <c r="G59" s="13" t="n">
        <v>72110</v>
      </c>
      <c r="H59" s="13" t="n">
        <v>1471</v>
      </c>
      <c r="I59" s="13" t="n">
        <v>133474</v>
      </c>
      <c r="J59" s="12" t="n">
        <v>40831</v>
      </c>
      <c r="K59" s="13" t="n">
        <v>33745</v>
      </c>
      <c r="L59" s="13" t="n">
        <v>0</v>
      </c>
      <c r="M59" s="13" t="n">
        <v>0</v>
      </c>
      <c r="N59" s="13" t="n">
        <v>464860</v>
      </c>
    </row>
    <row r="60" customFormat="false" ht="12" hidden="false" customHeight="true" outlineLevel="0" collapsed="false">
      <c r="A60" s="46" t="s">
        <v>54</v>
      </c>
      <c r="B60" s="11" t="n">
        <v>87148</v>
      </c>
      <c r="C60" s="11" t="n">
        <v>36942</v>
      </c>
      <c r="D60" s="11" t="n">
        <v>0</v>
      </c>
      <c r="E60" s="11" t="n">
        <v>124090</v>
      </c>
      <c r="F60" s="10" t="n">
        <v>36024</v>
      </c>
      <c r="G60" s="11" t="n">
        <v>54112</v>
      </c>
      <c r="H60" s="11" t="n">
        <v>15</v>
      </c>
      <c r="I60" s="11" t="n">
        <v>90151</v>
      </c>
      <c r="J60" s="10" t="n">
        <v>15067</v>
      </c>
      <c r="K60" s="11" t="n">
        <v>21072</v>
      </c>
      <c r="L60" s="11" t="n">
        <v>2015</v>
      </c>
      <c r="M60" s="11" t="n">
        <v>5990</v>
      </c>
      <c r="N60" s="11" t="n">
        <v>258385</v>
      </c>
    </row>
    <row r="61" customFormat="false" ht="12" hidden="false" customHeight="true" outlineLevel="0" collapsed="false">
      <c r="A61" s="46" t="s">
        <v>55</v>
      </c>
      <c r="B61" s="11" t="n">
        <v>649972</v>
      </c>
      <c r="C61" s="11" t="n">
        <v>202473</v>
      </c>
      <c r="D61" s="11" t="n">
        <v>8895</v>
      </c>
      <c r="E61" s="11" t="n">
        <v>861340</v>
      </c>
      <c r="F61" s="10" t="n">
        <v>468402</v>
      </c>
      <c r="G61" s="11" t="n">
        <v>187345</v>
      </c>
      <c r="H61" s="11" t="n">
        <v>30</v>
      </c>
      <c r="I61" s="11" t="n">
        <v>655777</v>
      </c>
      <c r="J61" s="10" t="n">
        <v>143235</v>
      </c>
      <c r="K61" s="11" t="n">
        <v>168008</v>
      </c>
      <c r="L61" s="11" t="n">
        <v>99058</v>
      </c>
      <c r="M61" s="11" t="n">
        <v>190483</v>
      </c>
      <c r="N61" s="11" t="n">
        <v>2117901</v>
      </c>
    </row>
    <row r="62" customFormat="false" ht="12" hidden="false" customHeight="true" outlineLevel="0" collapsed="false">
      <c r="A62" s="46" t="s">
        <v>56</v>
      </c>
      <c r="B62" s="11" t="n">
        <v>501683</v>
      </c>
      <c r="C62" s="11" t="n">
        <v>332102</v>
      </c>
      <c r="D62" s="11" t="n">
        <v>3923</v>
      </c>
      <c r="E62" s="11" t="n">
        <v>837708</v>
      </c>
      <c r="F62" s="10" t="n">
        <v>193795</v>
      </c>
      <c r="G62" s="11" t="n">
        <v>267382</v>
      </c>
      <c r="H62" s="11" t="n">
        <v>2431</v>
      </c>
      <c r="I62" s="11" t="n">
        <v>463608</v>
      </c>
      <c r="J62" s="10" t="n">
        <v>239299</v>
      </c>
      <c r="K62" s="11" t="n">
        <v>173064</v>
      </c>
      <c r="L62" s="11" t="n">
        <v>72751</v>
      </c>
      <c r="M62" s="11" t="n">
        <v>95899</v>
      </c>
      <c r="N62" s="11" t="n">
        <v>1882329</v>
      </c>
    </row>
    <row r="63" customFormat="false" ht="12" hidden="false" customHeight="true" outlineLevel="0" collapsed="false">
      <c r="A63" s="47" t="s">
        <v>57</v>
      </c>
      <c r="B63" s="13" t="n">
        <v>356770</v>
      </c>
      <c r="C63" s="13" t="n">
        <v>13858</v>
      </c>
      <c r="D63" s="13" t="n">
        <v>134</v>
      </c>
      <c r="E63" s="13" t="n">
        <v>370762</v>
      </c>
      <c r="F63" s="12" t="n">
        <v>161301</v>
      </c>
      <c r="G63" s="13" t="n">
        <v>48540</v>
      </c>
      <c r="H63" s="13" t="n">
        <v>41</v>
      </c>
      <c r="I63" s="13" t="n">
        <v>209882</v>
      </c>
      <c r="J63" s="12" t="n">
        <v>31528</v>
      </c>
      <c r="K63" s="13" t="n">
        <v>38247</v>
      </c>
      <c r="L63" s="13" t="n">
        <v>29209</v>
      </c>
      <c r="M63" s="13" t="n">
        <v>41355</v>
      </c>
      <c r="N63" s="13" t="n">
        <v>720983</v>
      </c>
    </row>
    <row r="64" customFormat="false" ht="12" hidden="false" customHeight="true" outlineLevel="0" collapsed="false">
      <c r="A64" s="46" t="s">
        <v>58</v>
      </c>
      <c r="B64" s="11" t="n">
        <v>626822</v>
      </c>
      <c r="C64" s="11" t="n">
        <v>384652</v>
      </c>
      <c r="D64" s="11" t="n">
        <v>1</v>
      </c>
      <c r="E64" s="11" t="n">
        <v>1011475</v>
      </c>
      <c r="F64" s="10" t="n">
        <v>116788</v>
      </c>
      <c r="G64" s="11" t="n">
        <v>423045</v>
      </c>
      <c r="H64" s="11" t="n">
        <v>1569</v>
      </c>
      <c r="I64" s="11" t="n">
        <v>541402</v>
      </c>
      <c r="J64" s="10" t="n">
        <v>128447</v>
      </c>
      <c r="K64" s="11" t="n">
        <v>261228</v>
      </c>
      <c r="L64" s="11" t="n">
        <v>72021</v>
      </c>
      <c r="M64" s="11" t="n">
        <v>135877</v>
      </c>
      <c r="N64" s="11" t="n">
        <v>2150450</v>
      </c>
    </row>
    <row r="65" customFormat="false" ht="12" hidden="false" customHeight="true" outlineLevel="0" collapsed="false">
      <c r="A65" s="46" t="s">
        <v>59</v>
      </c>
      <c r="B65" s="11" t="n">
        <v>127015</v>
      </c>
      <c r="C65" s="11" t="n">
        <v>34114</v>
      </c>
      <c r="D65" s="11" t="n">
        <v>12506</v>
      </c>
      <c r="E65" s="11" t="n">
        <v>173635</v>
      </c>
      <c r="F65" s="10" t="n">
        <v>52018</v>
      </c>
      <c r="G65" s="11" t="n">
        <v>34989</v>
      </c>
      <c r="H65" s="11" t="n">
        <v>900</v>
      </c>
      <c r="I65" s="11" t="n">
        <v>87907</v>
      </c>
      <c r="J65" s="10" t="n">
        <v>24522</v>
      </c>
      <c r="K65" s="11" t="n">
        <v>23896</v>
      </c>
      <c r="L65" s="11" t="n">
        <v>187</v>
      </c>
      <c r="M65" s="11" t="n">
        <v>1159</v>
      </c>
      <c r="N65" s="11" t="n">
        <v>311306</v>
      </c>
    </row>
    <row r="66" customFormat="false" ht="12" hidden="false" customHeight="true" outlineLevel="0" collapsed="false">
      <c r="A66" s="47" t="s">
        <v>60</v>
      </c>
      <c r="B66" s="13" t="n">
        <v>0</v>
      </c>
      <c r="C66" s="13" t="n">
        <v>0</v>
      </c>
      <c r="D66" s="13" t="n">
        <v>3527</v>
      </c>
      <c r="E66" s="13" t="n">
        <v>3527</v>
      </c>
      <c r="F66" s="12" t="n">
        <v>0</v>
      </c>
      <c r="G66" s="13" t="n">
        <v>0</v>
      </c>
      <c r="H66" s="13" t="n">
        <v>20587</v>
      </c>
      <c r="I66" s="13" t="n">
        <v>20587</v>
      </c>
      <c r="J66" s="12" t="n">
        <v>422413</v>
      </c>
      <c r="K66" s="13" t="n">
        <v>0</v>
      </c>
      <c r="L66" s="13" t="n">
        <v>0</v>
      </c>
      <c r="M66" s="13" t="n">
        <v>0</v>
      </c>
      <c r="N66" s="13" t="n">
        <v>446527</v>
      </c>
    </row>
    <row r="67" customFormat="false" ht="12" hidden="false" customHeight="true" outlineLevel="0" collapsed="false">
      <c r="A67" s="48" t="s">
        <v>61</v>
      </c>
      <c r="B67" s="49" t="n">
        <v>27143027</v>
      </c>
      <c r="C67" s="49" t="n">
        <v>10946255</v>
      </c>
      <c r="D67" s="49" t="n">
        <v>219878</v>
      </c>
      <c r="E67" s="49" t="n">
        <v>38309160</v>
      </c>
      <c r="F67" s="50" t="n">
        <v>8746806</v>
      </c>
      <c r="G67" s="49" t="n">
        <v>13402999</v>
      </c>
      <c r="H67" s="49" t="n">
        <v>73790</v>
      </c>
      <c r="I67" s="49" t="n">
        <v>22223595</v>
      </c>
      <c r="J67" s="50" t="n">
        <v>7718703</v>
      </c>
      <c r="K67" s="49" t="n">
        <v>7088262</v>
      </c>
      <c r="L67" s="49" t="n">
        <v>3620713</v>
      </c>
      <c r="M67" s="49" t="n">
        <v>4588962</v>
      </c>
      <c r="N67" s="49" t="n">
        <v>83549395</v>
      </c>
    </row>
    <row r="68" customFormat="false" ht="12" hidden="false" customHeight="true" outlineLevel="0" collapsed="false">
      <c r="A68" s="5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3"/>
    </row>
    <row r="69" customFormat="false" ht="12" hidden="false" customHeight="true" outlineLevel="0" collapsed="false">
      <c r="A69" s="54" t="s">
        <v>343</v>
      </c>
      <c r="B69" s="55"/>
      <c r="C69" s="55"/>
      <c r="D69" s="55"/>
      <c r="E69" s="55"/>
      <c r="F69" s="55"/>
      <c r="H69" s="36"/>
      <c r="I69" s="55"/>
      <c r="J69" s="55"/>
      <c r="K69" s="55"/>
      <c r="L69" s="55"/>
      <c r="M69" s="55"/>
      <c r="N69" s="56"/>
    </row>
    <row r="70" customFormat="false" ht="12" hidden="false" customHeight="true" outlineLevel="0" collapsed="false">
      <c r="A70" s="54" t="s">
        <v>344</v>
      </c>
      <c r="B70" s="55"/>
      <c r="C70" s="55"/>
      <c r="D70" s="55"/>
      <c r="E70" s="55"/>
      <c r="F70" s="55"/>
      <c r="H70" s="36" t="s">
        <v>345</v>
      </c>
      <c r="I70" s="55"/>
      <c r="J70" s="55"/>
      <c r="K70" s="55"/>
      <c r="L70" s="55"/>
      <c r="M70" s="55"/>
      <c r="N70" s="56"/>
    </row>
    <row r="71" customFormat="false" ht="12" hidden="false" customHeight="true" outlineLevel="0" collapsed="false">
      <c r="A71" s="54" t="s">
        <v>346</v>
      </c>
      <c r="B71" s="55"/>
      <c r="C71" s="55"/>
      <c r="D71" s="55"/>
      <c r="E71" s="55"/>
      <c r="F71" s="55"/>
      <c r="H71" s="36" t="s">
        <v>347</v>
      </c>
      <c r="I71" s="55"/>
      <c r="J71" s="55"/>
      <c r="K71" s="55"/>
      <c r="L71" s="55"/>
      <c r="M71" s="55"/>
      <c r="N71" s="56"/>
    </row>
    <row r="72" customFormat="false" ht="12" hidden="false" customHeight="true" outlineLevel="0" collapsed="false">
      <c r="A72" s="57" t="s">
        <v>348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9"/>
    </row>
  </sheetData>
  <mergeCells count="4">
    <mergeCell ref="A1:N1"/>
    <mergeCell ref="C8:L8"/>
    <mergeCell ref="B9:E9"/>
    <mergeCell ref="F9:I9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&amp;C&amp;F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